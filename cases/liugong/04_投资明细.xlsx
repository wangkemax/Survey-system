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投资总览" sheetId="1" state="visible" r:id="rId3"/>
    <sheet name="投资明细" sheetId="2" state="visible" r:id="rId4"/>
    <sheet name="集货复核发货" sheetId="3" state="visible" r:id="rId5"/>
    <sheet name="分期实施" sheetId="4" state="visible" r:id="rId6"/>
    <sheet name="选型对比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<sst xmlns="http://schemas.openxmlformats.org/spreadsheetml/2006/main" count="162" uniqueCount="135">
  <si>
    <r>
      <rPr>
        <b val="true"/>
        <sz val="16"/>
        <color rgb="FF1A2B4A"/>
        <rFont val="DejaVu Sans"/>
        <family val="2"/>
      </rPr>
      <t xml:space="preserve">仓库自动化升级 </t>
    </r>
    <r>
      <rPr>
        <b val="true"/>
        <sz val="16"/>
        <color rgb="FF1A2B4A"/>
        <rFont val="DejaVu Sans"/>
        <family val="2"/>
        <charset val="1"/>
      </rPr>
      <t xml:space="preserve">· </t>
    </r>
    <r>
      <rPr>
        <b val="true"/>
        <sz val="16"/>
        <color rgb="FF1A2B4A"/>
        <rFont val="DejaVu Sans"/>
        <family val="2"/>
      </rPr>
      <t xml:space="preserve">投资总览</t>
    </r>
  </si>
  <si>
    <r>
      <rPr>
        <sz val="9"/>
        <color rgb="FF7A6A4F"/>
        <rFont val="DejaVu Sans"/>
        <family val="2"/>
      </rPr>
      <t xml:space="preserve">单位：万元（不含税）</t>
    </r>
    <r>
      <rPr>
        <sz val="9"/>
        <color rgb="FF7A6A4F"/>
        <rFont val="DejaVu Sans"/>
        <family val="2"/>
        <charset val="1"/>
      </rPr>
      <t xml:space="preserve">· </t>
    </r>
    <r>
      <rPr>
        <sz val="9"/>
        <color rgb="FF7A6A4F"/>
        <rFont val="DejaVu Sans"/>
        <family val="2"/>
      </rPr>
      <t xml:space="preserve">方向性估算 </t>
    </r>
    <r>
      <rPr>
        <sz val="9"/>
        <color rgb="FF7A6A4F"/>
        <rFont val="DejaVu Sans"/>
        <family val="2"/>
        <charset val="1"/>
      </rPr>
      <t xml:space="preserve">±20%</t>
    </r>
    <r>
      <rPr>
        <sz val="9"/>
        <color rgb="FF7A6A4F"/>
        <rFont val="DejaVu Sans"/>
        <family val="2"/>
      </rPr>
      <t xml:space="preserve">，最终以详细方案与供应商报价为准</t>
    </r>
  </si>
  <si>
    <t xml:space="preserve">投资层</t>
  </si>
  <si>
    <r>
      <rPr>
        <b val="true"/>
        <sz val="11"/>
        <color rgb="FFFFFFFF"/>
        <rFont val="DejaVu Sans"/>
        <family val="2"/>
      </rPr>
      <t xml:space="preserve">投资额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万元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</si>
  <si>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占总投资</t>
  </si>
  <si>
    <t xml:space="preserve">说明</t>
  </si>
  <si>
    <t xml:space="preserve">软件层</t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</si>
  <si>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DejaVu Sans"/>
        <family val="2"/>
      </rPr>
      <t xml:space="preserve">可迁移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DejaVu Sans"/>
        <family val="2"/>
      </rPr>
      <t xml:space="preserve">投资重头</t>
    </r>
  </si>
  <si>
    <t xml:space="preserve">设备层</t>
  </si>
  <si>
    <r>
      <rPr>
        <sz val="10"/>
        <color rgb="FF000000"/>
        <rFont val="Arial"/>
        <family val="0"/>
        <charset val="1"/>
      </rPr>
      <t xml:space="preserve">≈60% </t>
    </r>
    <r>
      <rPr>
        <sz val="10"/>
        <color rgb="FF000000"/>
        <rFont val="DejaVu Sans"/>
        <family val="2"/>
      </rPr>
      <t xml:space="preserve">残值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DejaVu Sans"/>
        <family val="2"/>
      </rPr>
      <t xml:space="preserve">标准化模块化</t>
    </r>
  </si>
  <si>
    <t xml:space="preserve">改造层</t>
  </si>
  <si>
    <r>
      <rPr>
        <sz val="10"/>
        <color rgb="FF000000"/>
        <rFont val="Arial"/>
        <family val="0"/>
        <charset val="1"/>
      </rPr>
      <t xml:space="preserve">≈15% </t>
    </r>
    <r>
      <rPr>
        <sz val="10"/>
        <color rgb="FF000000"/>
        <rFont val="DejaVu Sans"/>
        <family val="2"/>
      </rPr>
      <t xml:space="preserve">残值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DejaVu Sans"/>
        <family val="2"/>
      </rPr>
      <t xml:space="preserve">最小化可逆</t>
    </r>
  </si>
  <si>
    <t xml:space="preserve">总投资</t>
  </si>
  <si>
    <r>
      <rPr>
        <b val="true"/>
        <sz val="11"/>
        <color rgb="FF1A2B4A"/>
        <rFont val="Arial"/>
        <family val="0"/>
        <charset val="1"/>
      </rPr>
      <t xml:space="preserve">≈ 1,165 </t>
    </r>
    <r>
      <rPr>
        <b val="true"/>
        <sz val="11"/>
        <color rgb="FF1A2B4A"/>
        <rFont val="DejaVu Sans"/>
        <family val="2"/>
      </rPr>
      <t xml:space="preserve">万 </t>
    </r>
    <r>
      <rPr>
        <b val="true"/>
        <sz val="11"/>
        <color rgb="FF1A2B4A"/>
        <rFont val="Arial"/>
        <family val="0"/>
        <charset val="1"/>
      </rPr>
      <t xml:space="preserve">· </t>
    </r>
    <r>
      <rPr>
        <b val="true"/>
        <sz val="11"/>
        <color rgb="FF1A2B4A"/>
        <rFont val="DejaVu Sans"/>
        <family val="2"/>
      </rPr>
      <t xml:space="preserve">回收期 ≈ </t>
    </r>
    <r>
      <rPr>
        <b val="true"/>
        <sz val="11"/>
        <color rgb="FF1A2B4A"/>
        <rFont val="Arial"/>
        <family val="0"/>
        <charset val="1"/>
      </rPr>
      <t xml:space="preserve">3 </t>
    </r>
    <r>
      <rPr>
        <b val="true"/>
        <sz val="11"/>
        <color rgb="FF1A2B4A"/>
        <rFont val="DejaVu Sans"/>
        <family val="2"/>
      </rPr>
      <t xml:space="preserve">年</t>
    </r>
  </si>
  <si>
    <t xml:space="preserve">软硬比（占总投资）</t>
  </si>
  <si>
    <r>
      <rPr>
        <sz val="10"/>
        <color rgb="FF7A6A4F"/>
        <rFont val="DejaVu Sans"/>
        <family val="2"/>
      </rPr>
      <t xml:space="preserve">明确拒绝：全 </t>
    </r>
    <r>
      <rPr>
        <sz val="10"/>
        <color rgb="FF7A6A4F"/>
        <rFont val="DejaVu Sans"/>
        <family val="2"/>
        <charset val="1"/>
      </rPr>
      <t xml:space="preserve">ASRS</t>
    </r>
    <r>
      <rPr>
        <sz val="10"/>
        <color rgb="FF7A6A4F"/>
        <rFont val="DejaVu Sans"/>
        <family val="2"/>
      </rPr>
      <t xml:space="preserve">（</t>
    </r>
    <r>
      <rPr>
        <sz val="10"/>
        <color rgb="FF7A6A4F"/>
        <rFont val="DejaVu Sans"/>
        <family val="2"/>
        <charset val="1"/>
      </rPr>
      <t xml:space="preserve">2,500–3,500 </t>
    </r>
    <r>
      <rPr>
        <sz val="10"/>
        <color rgb="FF7A6A4F"/>
        <rFont val="DejaVu Sans"/>
        <family val="2"/>
      </rPr>
      <t xml:space="preserve">万 </t>
    </r>
    <r>
      <rPr>
        <sz val="10"/>
        <color rgb="FF7A6A4F"/>
        <rFont val="DejaVu Sans"/>
        <family val="2"/>
        <charset val="1"/>
      </rPr>
      <t xml:space="preserve">· </t>
    </r>
    <r>
      <rPr>
        <sz val="10"/>
        <color rgb="FF7A6A4F"/>
        <rFont val="DejaVu Sans"/>
        <family val="2"/>
      </rPr>
      <t xml:space="preserve">残值≤</t>
    </r>
    <r>
      <rPr>
        <sz val="10"/>
        <color rgb="FF7A6A4F"/>
        <rFont val="DejaVu Sans"/>
        <family val="2"/>
        <charset val="1"/>
      </rPr>
      <t xml:space="preserve">30% · </t>
    </r>
    <r>
      <rPr>
        <sz val="10"/>
        <color rgb="FF7A6A4F"/>
        <rFont val="DejaVu Sans"/>
        <family val="2"/>
      </rPr>
      <t xml:space="preserve">回收</t>
    </r>
    <r>
      <rPr>
        <sz val="10"/>
        <color rgb="FF7A6A4F"/>
        <rFont val="DejaVu Sans"/>
        <family val="2"/>
        <charset val="1"/>
      </rPr>
      <t xml:space="preserve">&gt;6</t>
    </r>
    <r>
      <rPr>
        <sz val="10"/>
        <color rgb="FF7A6A4F"/>
        <rFont val="DejaVu Sans"/>
        <family val="2"/>
      </rPr>
      <t xml:space="preserve">年）、</t>
    </r>
    <r>
      <rPr>
        <sz val="10"/>
        <color rgb="FF7A6A4F"/>
        <rFont val="DejaVu Sans"/>
        <family val="2"/>
        <charset val="1"/>
      </rPr>
      <t xml:space="preserve">Shuttle </t>
    </r>
    <r>
      <rPr>
        <sz val="10"/>
        <color rgb="FF7A6A4F"/>
        <rFont val="DejaVu Sans"/>
        <family val="2"/>
      </rPr>
      <t xml:space="preserve">驶入式（</t>
    </r>
    <r>
      <rPr>
        <sz val="10"/>
        <color rgb="FF7A6A4F"/>
        <rFont val="DejaVu Sans"/>
        <family val="2"/>
        <charset val="1"/>
      </rPr>
      <t xml:space="preserve">800–1,200 </t>
    </r>
    <r>
      <rPr>
        <sz val="10"/>
        <color rgb="FF7A6A4F"/>
        <rFont val="DejaVu Sans"/>
        <family val="2"/>
      </rPr>
      <t xml:space="preserve">万 </t>
    </r>
    <r>
      <rPr>
        <sz val="10"/>
        <color rgb="FF7A6A4F"/>
        <rFont val="DejaVu Sans"/>
        <family val="2"/>
        <charset val="1"/>
      </rPr>
      <t xml:space="preserve">· </t>
    </r>
    <r>
      <rPr>
        <sz val="10"/>
        <color rgb="FF7A6A4F"/>
        <rFont val="DejaVu Sans"/>
        <family val="2"/>
      </rPr>
      <t xml:space="preserve">残值≤</t>
    </r>
    <r>
      <rPr>
        <sz val="10"/>
        <color rgb="FF7A6A4F"/>
        <rFont val="DejaVu Sans"/>
        <family val="2"/>
        <charset val="1"/>
      </rPr>
      <t xml:space="preserve">35%</t>
    </r>
    <r>
      <rPr>
        <sz val="10"/>
        <color rgb="FF7A6A4F"/>
        <rFont val="DejaVu Sans"/>
        <family val="2"/>
      </rPr>
      <t xml:space="preserve">）。详见『选型对比』页。</t>
    </r>
  </si>
  <si>
    <r>
      <rPr>
        <b val="true"/>
        <sz val="15"/>
        <color rgb="FF1A2B4A"/>
        <rFont val="DejaVu Sans"/>
        <family val="2"/>
      </rPr>
      <t xml:space="preserve">投资明细（软件 </t>
    </r>
    <r>
      <rPr>
        <b val="true"/>
        <sz val="15"/>
        <color rgb="FF1A2B4A"/>
        <rFont val="DejaVu Sans"/>
        <family val="2"/>
        <charset val="1"/>
      </rPr>
      <t xml:space="preserve">/ </t>
    </r>
    <r>
      <rPr>
        <b val="true"/>
        <sz val="15"/>
        <color rgb="FF1A2B4A"/>
        <rFont val="DejaVu Sans"/>
        <family val="2"/>
      </rPr>
      <t xml:space="preserve">设备 </t>
    </r>
    <r>
      <rPr>
        <b val="true"/>
        <sz val="15"/>
        <color rgb="FF1A2B4A"/>
        <rFont val="DejaVu Sans"/>
        <family val="2"/>
        <charset val="1"/>
      </rPr>
      <t xml:space="preserve">/ </t>
    </r>
    <r>
      <rPr>
        <b val="true"/>
        <sz val="15"/>
        <color rgb="FF1A2B4A"/>
        <rFont val="DejaVu Sans"/>
        <family val="2"/>
      </rPr>
      <t xml:space="preserve">改造三层分解）</t>
    </r>
  </si>
  <si>
    <t xml:space="preserve">层级</t>
  </si>
  <si>
    <t xml:space="preserve">投资项</t>
  </si>
  <si>
    <r>
      <rPr>
        <b val="true"/>
        <sz val="11"/>
        <color rgb="FFFFFFFF"/>
        <rFont val="DejaVu Sans"/>
        <family val="2"/>
      </rPr>
      <t xml:space="preserve">投资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万元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</si>
  <si>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残值率</t>
  </si>
  <si>
    <r>
      <rPr>
        <b val="true"/>
        <sz val="11"/>
        <color rgb="FFFFFFFF"/>
        <rFont val="DejaVu Sans"/>
        <family val="2"/>
      </rPr>
      <t xml:space="preserve">残值额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万元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</si>
  <si>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可迁移性</t>
  </si>
  <si>
    <r>
      <rPr>
        <b val="true"/>
        <sz val="11"/>
        <color rgb="FF1A2B4A"/>
        <rFont val="DejaVu Sans"/>
        <family val="2"/>
      </rPr>
      <t xml:space="preserve">🖥 软件层 </t>
    </r>
    <r>
      <rPr>
        <b val="true"/>
        <sz val="11"/>
        <color rgb="FF1A2B4A"/>
        <rFont val="DejaVu Sans"/>
        <family val="2"/>
        <charset val="1"/>
      </rPr>
      <t xml:space="preserve">· 100% </t>
    </r>
    <r>
      <rPr>
        <b val="true"/>
        <sz val="11"/>
        <color rgb="FF1A2B4A"/>
        <rFont val="DejaVu Sans"/>
        <family val="2"/>
      </rPr>
      <t xml:space="preserve">可迁移</t>
    </r>
  </si>
  <si>
    <t xml:space="preserve">软件</t>
  </si>
  <si>
    <r>
      <rPr>
        <b val="true"/>
        <sz val="10"/>
        <color rgb="FF000000"/>
        <rFont val="Arial"/>
        <family val="0"/>
        <charset val="1"/>
      </rPr>
      <t xml:space="preserve">WMS </t>
    </r>
    <r>
      <rPr>
        <b val="true"/>
        <sz val="10"/>
        <color rgb="FF000000"/>
        <rFont val="DejaVu Sans"/>
        <family val="2"/>
      </rPr>
      <t xml:space="preserve">仓储管理系统</t>
    </r>
  </si>
  <si>
    <r>
      <rPr>
        <sz val="9"/>
        <color rgb="FF555555"/>
        <rFont val="Arial"/>
        <family val="0"/>
        <charset val="1"/>
      </rPr>
      <t xml:space="preserve">CID/</t>
    </r>
    <r>
      <rPr>
        <sz val="9"/>
        <color rgb="FF555555"/>
        <rFont val="DejaVu Sans"/>
        <family val="2"/>
      </rPr>
      <t xml:space="preserve">批次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DejaVu Sans"/>
        <family val="2"/>
      </rPr>
      <t xml:space="preserve">工位多维管理；多客户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DejaVu Sans"/>
        <family val="2"/>
      </rPr>
      <t xml:space="preserve">多产线</t>
    </r>
  </si>
  <si>
    <t xml:space="preserve">100%</t>
  </si>
  <si>
    <r>
      <rPr>
        <b val="true"/>
        <sz val="10"/>
        <color rgb="FF000000"/>
        <rFont val="Arial"/>
        <family val="0"/>
        <charset val="1"/>
      </rPr>
      <t xml:space="preserve">TMS </t>
    </r>
    <r>
      <rPr>
        <b val="true"/>
        <sz val="10"/>
        <color rgb="FF000000"/>
        <rFont val="DejaVu Sans"/>
        <family val="2"/>
      </rPr>
      <t xml:space="preserve">运输管理系统</t>
    </r>
  </si>
  <si>
    <r>
      <rPr>
        <sz val="9"/>
        <color rgb="FF555555"/>
        <rFont val="DejaVu Sans"/>
        <family val="2"/>
      </rPr>
      <t xml:space="preserve">承运商管理、</t>
    </r>
    <r>
      <rPr>
        <sz val="9"/>
        <color rgb="FF555555"/>
        <rFont val="DejaVu Sans"/>
        <family val="2"/>
        <charset val="1"/>
      </rPr>
      <t xml:space="preserve">GPS </t>
    </r>
    <r>
      <rPr>
        <sz val="9"/>
        <color rgb="FF555555"/>
        <rFont val="DejaVu Sans"/>
        <family val="2"/>
      </rPr>
      <t xml:space="preserve">跟踪、电子签收</t>
    </r>
  </si>
  <si>
    <r>
      <rPr>
        <b val="true"/>
        <sz val="10"/>
        <color rgb="FF000000"/>
        <rFont val="Arial"/>
        <family val="0"/>
        <charset val="1"/>
      </rPr>
      <t xml:space="preserve">AI </t>
    </r>
    <r>
      <rPr>
        <b val="true"/>
        <sz val="10"/>
        <color rgb="FF000000"/>
        <rFont val="DejaVu Sans"/>
        <family val="2"/>
      </rPr>
      <t xml:space="preserve">调度系统</t>
    </r>
  </si>
  <si>
    <r>
      <rPr>
        <sz val="9"/>
        <color rgb="FF555555"/>
        <rFont val="Arial"/>
        <family val="0"/>
        <charset val="1"/>
      </rPr>
      <t xml:space="preserve">AGV/AMR </t>
    </r>
    <r>
      <rPr>
        <sz val="9"/>
        <color rgb="FF555555"/>
        <rFont val="DejaVu Sans"/>
        <family val="2"/>
      </rPr>
      <t xml:space="preserve">群调度、拣选路径优化、预测维护</t>
    </r>
  </si>
  <si>
    <r>
      <rPr>
        <b val="true"/>
        <sz val="10"/>
        <color rgb="FF000000"/>
        <rFont val="DejaVu Sans"/>
        <family val="2"/>
      </rPr>
      <t xml:space="preserve">数据中台 </t>
    </r>
    <r>
      <rPr>
        <b val="true"/>
        <sz val="10"/>
        <color rgb="FF000000"/>
        <rFont val="DejaVu Sans"/>
        <family val="2"/>
        <charset val="1"/>
      </rPr>
      <t xml:space="preserve">+ MES </t>
    </r>
    <r>
      <rPr>
        <b val="true"/>
        <sz val="10"/>
        <color rgb="FF000000"/>
        <rFont val="DejaVu Sans"/>
        <family val="2"/>
      </rPr>
      <t xml:space="preserve">接口</t>
    </r>
  </si>
  <si>
    <r>
      <rPr>
        <sz val="9"/>
        <color rgb="FF555555"/>
        <rFont val="DejaVu Sans"/>
        <family val="2"/>
      </rPr>
      <t xml:space="preserve">与 </t>
    </r>
    <r>
      <rPr>
        <sz val="9"/>
        <color rgb="FF555555"/>
        <rFont val="DejaVu Sans"/>
        <family val="2"/>
        <charset val="1"/>
      </rPr>
      <t xml:space="preserve">1/2/3 </t>
    </r>
    <r>
      <rPr>
        <sz val="9"/>
        <color rgb="FF555555"/>
        <rFont val="DejaVu Sans"/>
        <family val="2"/>
      </rPr>
      <t xml:space="preserve">号线 </t>
    </r>
    <r>
      <rPr>
        <sz val="9"/>
        <color rgb="FF555555"/>
        <rFont val="DejaVu Sans"/>
        <family val="2"/>
        <charset val="1"/>
      </rPr>
      <t xml:space="preserve">MES </t>
    </r>
    <r>
      <rPr>
        <sz val="9"/>
        <color rgb="FF555555"/>
        <rFont val="DejaVu Sans"/>
        <family val="2"/>
      </rPr>
      <t xml:space="preserve">直连，工位级配送</t>
    </r>
  </si>
  <si>
    <t xml:space="preserve">软件层小计</t>
  </si>
  <si>
    <r>
      <rPr>
        <b val="true"/>
        <sz val="11"/>
        <color rgb="FF1A2B4A"/>
        <rFont val="DejaVu Sans"/>
        <family val="2"/>
      </rPr>
      <t xml:space="preserve">🤖 设备层 </t>
    </r>
    <r>
      <rPr>
        <b val="true"/>
        <sz val="11"/>
        <color rgb="FF1A2B4A"/>
        <rFont val="DejaVu Sans"/>
        <family val="2"/>
        <charset val="1"/>
      </rPr>
      <t xml:space="preserve">· </t>
    </r>
    <r>
      <rPr>
        <b val="true"/>
        <sz val="11"/>
        <color rgb="FF1A2B4A"/>
        <rFont val="DejaVu Sans"/>
        <family val="2"/>
      </rPr>
      <t xml:space="preserve">标准化模块化</t>
    </r>
  </si>
  <si>
    <t xml:space="preserve">设备</t>
  </si>
  <si>
    <r>
      <rPr>
        <b val="true"/>
        <sz val="10"/>
        <color rgb="FF000000"/>
        <rFont val="Arial"/>
        <family val="0"/>
        <charset val="1"/>
      </rPr>
      <t xml:space="preserve">A </t>
    </r>
    <r>
      <rPr>
        <b val="true"/>
        <sz val="10"/>
        <color rgb="FF000000"/>
        <rFont val="DejaVu Sans"/>
        <family val="2"/>
      </rPr>
      <t xml:space="preserve">区 重型货架 </t>
    </r>
    <r>
      <rPr>
        <b val="true"/>
        <sz val="10"/>
        <color rgb="FF000000"/>
        <rFont val="Arial"/>
        <family val="0"/>
        <charset val="1"/>
      </rPr>
      <t xml:space="preserve">+ </t>
    </r>
    <r>
      <rPr>
        <b val="true"/>
        <sz val="10"/>
        <color rgb="FF000000"/>
        <rFont val="DejaVu Sans"/>
        <family val="2"/>
      </rPr>
      <t xml:space="preserve">托盘 </t>
    </r>
    <r>
      <rPr>
        <b val="true"/>
        <sz val="10"/>
        <color rgb="FF000000"/>
        <rFont val="Arial"/>
        <family val="0"/>
        <charset val="1"/>
      </rPr>
      <t xml:space="preserve">AGV</t>
    </r>
  </si>
  <si>
    <r>
      <rPr>
        <sz val="9"/>
        <color rgb="FF555555"/>
        <rFont val="Arial"/>
        <family val="0"/>
        <charset val="1"/>
      </rPr>
      <t xml:space="preserve">5 </t>
    </r>
    <r>
      <rPr>
        <sz val="9"/>
        <color rgb="FF555555"/>
        <rFont val="DejaVu Sans"/>
        <family val="2"/>
      </rPr>
      <t xml:space="preserve">层</t>
    </r>
    <r>
      <rPr>
        <sz val="9"/>
        <color rgb="FF555555"/>
        <rFont val="Arial"/>
        <family val="0"/>
        <charset val="1"/>
      </rPr>
      <t xml:space="preserve">×960 </t>
    </r>
    <r>
      <rPr>
        <sz val="9"/>
        <color rgb="FF555555"/>
        <rFont val="DejaVu Sans"/>
        <family val="2"/>
      </rPr>
      <t xml:space="preserve">位 </t>
    </r>
    <r>
      <rPr>
        <sz val="9"/>
        <color rgb="FF555555"/>
        <rFont val="Arial"/>
        <family val="0"/>
        <charset val="1"/>
      </rPr>
      <t xml:space="preserve">+ 3-4 </t>
    </r>
    <r>
      <rPr>
        <sz val="9"/>
        <color rgb="FF555555"/>
        <rFont val="DejaVu Sans"/>
        <family val="2"/>
      </rPr>
      <t xml:space="preserve">台 </t>
    </r>
    <r>
      <rPr>
        <sz val="9"/>
        <color rgb="FF555555"/>
        <rFont val="Arial"/>
        <family val="0"/>
        <charset val="1"/>
      </rPr>
      <t xml:space="preserve">SLAM AGV</t>
    </r>
  </si>
  <si>
    <t xml:space="preserve">高</t>
  </si>
  <si>
    <r>
      <rPr>
        <b val="true"/>
        <sz val="10"/>
        <color rgb="FF000000"/>
        <rFont val="Arial"/>
        <family val="0"/>
        <charset val="1"/>
      </rPr>
      <t xml:space="preserve">B1 </t>
    </r>
    <r>
      <rPr>
        <b val="true"/>
        <sz val="10"/>
        <color rgb="FF000000"/>
        <rFont val="DejaVu Sans"/>
        <family val="2"/>
      </rPr>
      <t xml:space="preserve">区 普通货到人 </t>
    </r>
    <r>
      <rPr>
        <b val="true"/>
        <sz val="10"/>
        <color rgb="FF000000"/>
        <rFont val="Arial"/>
        <family val="0"/>
        <charset val="1"/>
      </rPr>
      <t xml:space="preserve">AMR</t>
    </r>
  </si>
  <si>
    <r>
      <rPr>
        <sz val="9"/>
        <color rgb="FF555555"/>
        <rFont val="Arial"/>
        <family val="0"/>
        <charset val="1"/>
      </rPr>
      <t xml:space="preserve">3-5 </t>
    </r>
    <r>
      <rPr>
        <sz val="9"/>
        <color rgb="FF555555"/>
        <rFont val="DejaVu Sans"/>
        <family val="2"/>
      </rPr>
      <t xml:space="preserve">台 </t>
    </r>
    <r>
      <rPr>
        <sz val="9"/>
        <color rgb="FF555555"/>
        <rFont val="Arial"/>
        <family val="0"/>
        <charset val="1"/>
      </rPr>
      <t xml:space="preserve">AMR + 120 </t>
    </r>
    <r>
      <rPr>
        <sz val="9"/>
        <color rgb="FF555555"/>
        <rFont val="DejaVu Sans"/>
        <family val="2"/>
      </rPr>
      <t xml:space="preserve">料架 </t>
    </r>
    <r>
      <rPr>
        <sz val="9"/>
        <color rgb="FF555555"/>
        <rFont val="Arial"/>
        <family val="0"/>
        <charset val="1"/>
      </rPr>
      <t xml:space="preserve">+ 2 </t>
    </r>
    <r>
      <rPr>
        <sz val="9"/>
        <color rgb="FF555555"/>
        <rFont val="DejaVu Sans"/>
        <family val="2"/>
      </rPr>
      <t xml:space="preserve">工作站</t>
    </r>
  </si>
  <si>
    <r>
      <rPr>
        <b val="true"/>
        <sz val="10"/>
        <color rgb="FF000000"/>
        <rFont val="Arial"/>
        <family val="0"/>
        <charset val="1"/>
      </rPr>
      <t xml:space="preserve">B2 </t>
    </r>
    <r>
      <rPr>
        <b val="true"/>
        <sz val="10"/>
        <color rgb="FF000000"/>
        <rFont val="DejaVu Sans"/>
        <family val="2"/>
      </rPr>
      <t xml:space="preserve">区 批次锁定 </t>
    </r>
    <r>
      <rPr>
        <b val="true"/>
        <sz val="10"/>
        <color rgb="FF000000"/>
        <rFont val="Arial"/>
        <family val="0"/>
        <charset val="1"/>
      </rPr>
      <t xml:space="preserve">AMR + AI </t>
    </r>
    <r>
      <rPr>
        <b val="true"/>
        <sz val="10"/>
        <color rgb="FF000000"/>
        <rFont val="DejaVu Sans"/>
        <family val="2"/>
      </rPr>
      <t xml:space="preserve">视觉</t>
    </r>
  </si>
  <si>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DejaVu Sans"/>
        <family val="2"/>
      </rPr>
      <t xml:space="preserve">号线一单一件强批次：</t>
    </r>
    <r>
      <rPr>
        <sz val="9"/>
        <color rgb="FF555555"/>
        <rFont val="Arial"/>
        <family val="0"/>
        <charset val="1"/>
      </rPr>
      <t xml:space="preserve">2-3 </t>
    </r>
    <r>
      <rPr>
        <sz val="9"/>
        <color rgb="FF555555"/>
        <rFont val="DejaVu Sans"/>
        <family val="2"/>
      </rPr>
      <t xml:space="preserve">台 </t>
    </r>
    <r>
      <rPr>
        <sz val="9"/>
        <color rgb="FF555555"/>
        <rFont val="Arial"/>
        <family val="0"/>
        <charset val="1"/>
      </rPr>
      <t xml:space="preserve">AMR + 100 </t>
    </r>
    <r>
      <rPr>
        <sz val="9"/>
        <color rgb="FF555555"/>
        <rFont val="DejaVu Sans"/>
        <family val="2"/>
      </rPr>
      <t xml:space="preserve">批次料架 </t>
    </r>
    <r>
      <rPr>
        <sz val="9"/>
        <color rgb="FF555555"/>
        <rFont val="Arial"/>
        <family val="0"/>
        <charset val="1"/>
      </rPr>
      <t xml:space="preserve">+ 1-2 </t>
    </r>
    <r>
      <rPr>
        <sz val="9"/>
        <color rgb="FF555555"/>
        <rFont val="DejaVu Sans"/>
        <family val="2"/>
      </rPr>
      <t xml:space="preserve">强复核 </t>
    </r>
    <r>
      <rPr>
        <sz val="9"/>
        <color rgb="FF555555"/>
        <rFont val="Arial"/>
        <family val="0"/>
        <charset val="1"/>
      </rPr>
      <t xml:space="preserve">+ AI </t>
    </r>
    <r>
      <rPr>
        <sz val="9"/>
        <color rgb="FF555555"/>
        <rFont val="DejaVu Sans"/>
        <family val="2"/>
      </rPr>
      <t xml:space="preserve">视觉</t>
    </r>
  </si>
  <si>
    <t xml:space="preserve">中</t>
  </si>
  <si>
    <r>
      <rPr>
        <b val="true"/>
        <sz val="10"/>
        <color rgb="FF000000"/>
        <rFont val="Arial"/>
        <family val="0"/>
        <charset val="1"/>
      </rPr>
      <t xml:space="preserve">C </t>
    </r>
    <r>
      <rPr>
        <b val="true"/>
        <sz val="10"/>
        <color rgb="FF000000"/>
        <rFont val="DejaVu Sans"/>
        <family val="2"/>
      </rPr>
      <t xml:space="preserve">区 </t>
    </r>
    <r>
      <rPr>
        <b val="true"/>
        <sz val="10"/>
        <color rgb="FF000000"/>
        <rFont val="Arial"/>
        <family val="0"/>
        <charset val="1"/>
      </rPr>
      <t xml:space="preserve">Mezzanine + </t>
    </r>
    <r>
      <rPr>
        <b val="true"/>
        <sz val="10"/>
        <color rgb="FF000000"/>
        <rFont val="DejaVu Sans"/>
        <family val="2"/>
      </rPr>
      <t xml:space="preserve">中型货架</t>
    </r>
  </si>
  <si>
    <r>
      <rPr>
        <sz val="9"/>
        <color rgb="FF555555"/>
        <rFont val="Arial"/>
        <family val="0"/>
        <charset val="1"/>
      </rPr>
      <t xml:space="preserve">750</t>
    </r>
    <r>
      <rPr>
        <sz val="9"/>
        <color rgb="FF555555"/>
        <rFont val="DejaVu Sans"/>
        <family val="2"/>
      </rPr>
      <t xml:space="preserve">㎡ 钢平台 </t>
    </r>
    <r>
      <rPr>
        <sz val="9"/>
        <color rgb="FF555555"/>
        <rFont val="Arial"/>
        <family val="0"/>
        <charset val="1"/>
      </rPr>
      <t xml:space="preserve">+ 70 </t>
    </r>
    <r>
      <rPr>
        <sz val="9"/>
        <color rgb="FF555555"/>
        <rFont val="DejaVu Sans"/>
        <family val="2"/>
      </rPr>
      <t xml:space="preserve">组货架</t>
    </r>
  </si>
  <si>
    <r>
      <rPr>
        <b val="true"/>
        <sz val="10"/>
        <color rgb="FF000000"/>
        <rFont val="Arial"/>
        <family val="0"/>
        <charset val="1"/>
      </rPr>
      <t xml:space="preserve">D </t>
    </r>
    <r>
      <rPr>
        <b val="true"/>
        <sz val="10"/>
        <color rgb="FF000000"/>
        <rFont val="DejaVu Sans"/>
        <family val="2"/>
      </rPr>
      <t xml:space="preserve">区 悬臂货架</t>
    </r>
  </si>
  <si>
    <r>
      <rPr>
        <sz val="9"/>
        <color rgb="FF555555"/>
        <rFont val="Arial"/>
        <family val="0"/>
        <charset val="1"/>
      </rPr>
      <t xml:space="preserve">16 </t>
    </r>
    <r>
      <rPr>
        <sz val="9"/>
        <color rgb="FF555555"/>
        <rFont val="DejaVu Sans"/>
        <family val="2"/>
      </rPr>
      <t xml:space="preserve">组悬臂式货架（长形件）</t>
    </r>
  </si>
  <si>
    <r>
      <rPr>
        <b val="true"/>
        <sz val="10"/>
        <color rgb="FF000000"/>
        <rFont val="DejaVu Sans"/>
        <family val="2"/>
      </rPr>
      <t xml:space="preserve">集货</t>
    </r>
    <r>
      <rPr>
        <b val="true"/>
        <sz val="10"/>
        <color rgb="FF000000"/>
        <rFont val="DejaVu Sans"/>
        <family val="2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复核</t>
    </r>
    <r>
      <rPr>
        <b val="true"/>
        <sz val="10"/>
        <color rgb="FF000000"/>
        <rFont val="DejaVu Sans"/>
        <family val="2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发货设备</t>
    </r>
  </si>
  <si>
    <r>
      <rPr>
        <sz val="9"/>
        <color rgb="FF555555"/>
        <rFont val="Arial"/>
        <family val="0"/>
        <charset val="1"/>
      </rPr>
      <t xml:space="preserve">AI </t>
    </r>
    <r>
      <rPr>
        <sz val="9"/>
        <color rgb="FF555555"/>
        <rFont val="DejaVu Sans"/>
        <family val="2"/>
      </rPr>
      <t xml:space="preserve">视觉 </t>
    </r>
    <r>
      <rPr>
        <sz val="9"/>
        <color rgb="FF555555"/>
        <rFont val="Arial"/>
        <family val="0"/>
        <charset val="1"/>
      </rPr>
      <t xml:space="preserve">+ RFID + PTL + </t>
    </r>
    <r>
      <rPr>
        <sz val="9"/>
        <color rgb="FF555555"/>
        <rFont val="DejaVu Sans"/>
        <family val="2"/>
      </rPr>
      <t xml:space="preserve">登车桥（明细见『集货复核发货』页）</t>
    </r>
  </si>
  <si>
    <t xml:space="preserve">设备层小计</t>
  </si>
  <si>
    <r>
      <rPr>
        <b val="true"/>
        <sz val="11"/>
        <color rgb="FF1A2B4A"/>
        <rFont val="DejaVu Sans"/>
        <family val="2"/>
      </rPr>
      <t xml:space="preserve">🔧 改造层 </t>
    </r>
    <r>
      <rPr>
        <b val="true"/>
        <sz val="11"/>
        <color rgb="FF1A2B4A"/>
        <rFont val="DejaVu Sans"/>
        <family val="2"/>
        <charset val="1"/>
      </rPr>
      <t xml:space="preserve">· </t>
    </r>
    <r>
      <rPr>
        <b val="true"/>
        <sz val="11"/>
        <color rgb="FF1A2B4A"/>
        <rFont val="DejaVu Sans"/>
        <family val="2"/>
      </rPr>
      <t xml:space="preserve">最小化可逆</t>
    </r>
  </si>
  <si>
    <t xml:space="preserve">改造</t>
  </si>
  <si>
    <r>
      <rPr>
        <b val="true"/>
        <sz val="10"/>
        <color rgb="FF000000"/>
        <rFont val="DejaVu Sans"/>
        <family val="2"/>
      </rPr>
      <t xml:space="preserve">工业 </t>
    </r>
    <r>
      <rPr>
        <b val="true"/>
        <sz val="10"/>
        <color rgb="FF000000"/>
        <rFont val="DejaVu Sans"/>
        <family val="2"/>
        <charset val="1"/>
      </rPr>
      <t xml:space="preserve">WiFi </t>
    </r>
    <r>
      <rPr>
        <b val="true"/>
        <sz val="10"/>
        <color rgb="FF000000"/>
        <rFont val="DejaVu Sans"/>
        <family val="2"/>
      </rPr>
      <t xml:space="preserve">部署</t>
    </r>
  </si>
  <si>
    <r>
      <rPr>
        <sz val="9"/>
        <color rgb="FF555555"/>
        <rFont val="DejaVu Sans"/>
        <family val="2"/>
      </rPr>
      <t xml:space="preserve">全仓覆盖 </t>
    </r>
    <r>
      <rPr>
        <sz val="9"/>
        <color rgb="FF555555"/>
        <rFont val="DejaVu Sans"/>
        <family val="2"/>
        <charset val="1"/>
      </rPr>
      <t xml:space="preserve">· </t>
    </r>
    <r>
      <rPr>
        <sz val="9"/>
        <color rgb="FF555555"/>
        <rFont val="DejaVu Sans"/>
        <family val="2"/>
      </rPr>
      <t xml:space="preserve">工业级 </t>
    </r>
    <r>
      <rPr>
        <sz val="9"/>
        <color rgb="FF555555"/>
        <rFont val="DejaVu Sans"/>
        <family val="2"/>
        <charset val="1"/>
      </rPr>
      <t xml:space="preserve">AP </t>
    </r>
    <r>
      <rPr>
        <sz val="9"/>
        <color rgb="FF555555"/>
        <rFont val="DejaVu Sans"/>
        <family val="2"/>
      </rPr>
      <t xml:space="preserve">落地支架式</t>
    </r>
  </si>
  <si>
    <r>
      <rPr>
        <b val="true"/>
        <sz val="10"/>
        <color rgb="FF000000"/>
        <rFont val="DejaVu Sans"/>
        <family val="2"/>
      </rPr>
      <t xml:space="preserve">电气增容 </t>
    </r>
    <r>
      <rPr>
        <b val="true"/>
        <sz val="10"/>
        <color rgb="FF000000"/>
        <rFont val="DejaVu Sans"/>
        <family val="2"/>
        <charset val="1"/>
      </rPr>
      <t xml:space="preserve">/ </t>
    </r>
    <r>
      <rPr>
        <b val="true"/>
        <sz val="10"/>
        <color rgb="FF000000"/>
        <rFont val="DejaVu Sans"/>
        <family val="2"/>
      </rPr>
      <t xml:space="preserve">线缆</t>
    </r>
  </si>
  <si>
    <r>
      <rPr>
        <sz val="9"/>
        <color rgb="FF555555"/>
        <rFont val="DejaVu Sans"/>
        <family val="2"/>
      </rPr>
      <t xml:space="preserve">支持 </t>
    </r>
    <r>
      <rPr>
        <sz val="9"/>
        <color rgb="FF555555"/>
        <rFont val="DejaVu Sans"/>
        <family val="2"/>
        <charset val="1"/>
      </rPr>
      <t xml:space="preserve">AGV </t>
    </r>
    <r>
      <rPr>
        <sz val="9"/>
        <color rgb="FF555555"/>
        <rFont val="DejaVu Sans"/>
        <family val="2"/>
      </rPr>
      <t xml:space="preserve">群充 </t>
    </r>
    <r>
      <rPr>
        <sz val="9"/>
        <color rgb="FF555555"/>
        <rFont val="DejaVu Sans"/>
        <family val="2"/>
        <charset val="1"/>
      </rPr>
      <t xml:space="preserve">+ </t>
    </r>
    <r>
      <rPr>
        <sz val="9"/>
        <color rgb="FF555555"/>
        <rFont val="DejaVu Sans"/>
        <family val="2"/>
      </rPr>
      <t xml:space="preserve">工作站用电</t>
    </r>
  </si>
  <si>
    <t xml:space="preserve">低</t>
  </si>
  <si>
    <t xml:space="preserve">地面局部修补</t>
  </si>
  <si>
    <t xml:space="preserve">平整度差点位修补（不做自流平）</t>
  </si>
  <si>
    <t xml:space="preserve">不可</t>
  </si>
  <si>
    <t xml:space="preserve">照明优化</t>
  </si>
  <si>
    <r>
      <rPr>
        <sz val="9"/>
        <color rgb="FF555555"/>
        <rFont val="DejaVu Sans"/>
        <family val="2"/>
      </rPr>
      <t xml:space="preserve">拣货区灯光提升至 ≥ </t>
    </r>
    <r>
      <rPr>
        <sz val="9"/>
        <color rgb="FF555555"/>
        <rFont val="DejaVu Sans"/>
        <family val="2"/>
        <charset val="1"/>
      </rPr>
      <t xml:space="preserve">300 lux</t>
    </r>
  </si>
  <si>
    <t xml:space="preserve">改造层小计</t>
  </si>
  <si>
    <t xml:space="preserve">总投资（不含税）</t>
  </si>
  <si>
    <r>
      <rPr>
        <b val="true"/>
        <sz val="10"/>
        <color rgb="FF1A2B4A"/>
        <rFont val="DejaVu Sans"/>
        <family val="2"/>
      </rPr>
      <t xml:space="preserve">综合残值率（设备</t>
    </r>
    <r>
      <rPr>
        <b val="true"/>
        <sz val="10"/>
        <color rgb="FF1A2B4A"/>
        <rFont val="DejaVu Sans"/>
        <family val="2"/>
        <charset val="1"/>
      </rPr>
      <t xml:space="preserve">+</t>
    </r>
    <r>
      <rPr>
        <b val="true"/>
        <sz val="10"/>
        <color rgb="FF1A2B4A"/>
        <rFont val="DejaVu Sans"/>
        <family val="2"/>
      </rPr>
      <t xml:space="preserve">改造硬件）</t>
    </r>
  </si>
  <si>
    <t xml:space="preserve">综合残值率（含软件按迁移价值）</t>
  </si>
  <si>
    <r>
      <rPr>
        <sz val="9"/>
        <color rgb="FF7A6A4F"/>
        <rFont val="DejaVu Sans"/>
        <family val="2"/>
      </rPr>
      <t xml:space="preserve">注：① 金额为方向性估算（</t>
    </r>
    <r>
      <rPr>
        <sz val="9"/>
        <color rgb="FF7A6A4F"/>
        <rFont val="DejaVu Sans"/>
        <family val="2"/>
        <charset val="1"/>
      </rPr>
      <t xml:space="preserve">±20%</t>
    </r>
    <r>
      <rPr>
        <sz val="9"/>
        <color rgb="FF7A6A4F"/>
        <rFont val="DejaVu Sans"/>
        <family val="2"/>
      </rPr>
      <t xml:space="preserve">），最终以供应商报价为准。② 残值率</t>
    </r>
    <r>
      <rPr>
        <sz val="9"/>
        <color rgb="FF7A6A4F"/>
        <rFont val="DejaVu Sans"/>
        <family val="2"/>
        <charset val="1"/>
      </rPr>
      <t xml:space="preserve">=</t>
    </r>
    <r>
      <rPr>
        <sz val="9"/>
        <color rgb="FF7A6A4F"/>
        <rFont val="DejaVu Sans"/>
        <family val="2"/>
      </rPr>
      <t xml:space="preserve">假设 </t>
    </r>
    <r>
      <rPr>
        <sz val="9"/>
        <color rgb="FF7A6A4F"/>
        <rFont val="DejaVu Sans"/>
        <family val="2"/>
        <charset val="1"/>
      </rPr>
      <t xml:space="preserve">3-5 </t>
    </r>
    <r>
      <rPr>
        <sz val="9"/>
        <color rgb="FF7A6A4F"/>
        <rFont val="DejaVu Sans"/>
        <family val="2"/>
      </rPr>
      <t xml:space="preserve">年后迁移时二手回收价值占原价比例；软件投资可 </t>
    </r>
    <r>
      <rPr>
        <sz val="9"/>
        <color rgb="FF7A6A4F"/>
        <rFont val="DejaVu Sans"/>
        <family val="2"/>
        <charset val="1"/>
      </rPr>
      <t xml:space="preserve">100% </t>
    </r>
    <r>
      <rPr>
        <sz val="9"/>
        <color rgb="FF7A6A4F"/>
        <rFont val="DejaVu Sans"/>
        <family val="2"/>
      </rPr>
      <t xml:space="preserve">迁移。③ 方案文档 </t>
    </r>
    <r>
      <rPr>
        <sz val="9"/>
        <color rgb="FF7A6A4F"/>
        <rFont val="DejaVu Sans"/>
        <family val="2"/>
        <charset val="1"/>
      </rPr>
      <t xml:space="preserve">v0.4 </t>
    </r>
    <r>
      <rPr>
        <sz val="9"/>
        <color rgb="FF7A6A4F"/>
        <rFont val="DejaVu Sans"/>
        <family val="2"/>
      </rPr>
      <t xml:space="preserve">客户口径综合残值率列示≈</t>
    </r>
    <r>
      <rPr>
        <sz val="9"/>
        <color rgb="FF7A6A4F"/>
        <rFont val="DejaVu Sans"/>
        <family val="2"/>
        <charset val="1"/>
      </rPr>
      <t xml:space="preserve">50%</t>
    </r>
    <r>
      <rPr>
        <sz val="9"/>
        <color rgb="FF7A6A4F"/>
        <rFont val="DejaVu Sans"/>
        <family val="2"/>
      </rPr>
      <t xml:space="preserve">（保守，硬件为主）。</t>
    </r>
  </si>
  <si>
    <r>
      <rPr>
        <b val="true"/>
        <sz val="14"/>
        <color rgb="FF1A2B4A"/>
        <rFont val="DejaVu Sans"/>
        <family val="2"/>
      </rPr>
      <t xml:space="preserve">集货 </t>
    </r>
    <r>
      <rPr>
        <b val="true"/>
        <sz val="14"/>
        <color rgb="FF1A2B4A"/>
        <rFont val="DejaVu Sans"/>
        <family val="2"/>
        <charset val="1"/>
      </rPr>
      <t xml:space="preserve">· </t>
    </r>
    <r>
      <rPr>
        <b val="true"/>
        <sz val="14"/>
        <color rgb="FF1A2B4A"/>
        <rFont val="DejaVu Sans"/>
        <family val="2"/>
      </rPr>
      <t xml:space="preserve">复核 </t>
    </r>
    <r>
      <rPr>
        <b val="true"/>
        <sz val="14"/>
        <color rgb="FF1A2B4A"/>
        <rFont val="DejaVu Sans"/>
        <family val="2"/>
        <charset val="1"/>
      </rPr>
      <t xml:space="preserve">· </t>
    </r>
    <r>
      <rPr>
        <b val="true"/>
        <sz val="14"/>
        <color rgb="FF1A2B4A"/>
        <rFont val="DejaVu Sans"/>
        <family val="2"/>
      </rPr>
      <t xml:space="preserve">发货环节明细</t>
    </r>
  </si>
  <si>
    <r>
      <rPr>
        <b val="true"/>
        <sz val="11"/>
        <color rgb="FFFFFFFF"/>
        <rFont val="DejaVu Sans"/>
        <family val="2"/>
      </rPr>
      <t xml:space="preserve">环节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设备</t>
    </r>
  </si>
  <si>
    <t xml:space="preserve">技术要点</t>
  </si>
  <si>
    <t xml:space="preserve">数量</t>
  </si>
  <si>
    <t xml:space="preserve">优先级</t>
  </si>
  <si>
    <t xml:space="preserve">集货缓冲区</t>
  </si>
  <si>
    <t xml:space="preserve">分订单号定位缓冲料架，按月台方向预排队</t>
  </si>
  <si>
    <r>
      <rPr>
        <sz val="11"/>
        <color theme="1"/>
        <rFont val="Calibri"/>
        <family val="2"/>
        <charset val="1"/>
      </rPr>
      <t xml:space="preserve">≈600</t>
    </r>
    <r>
      <rPr>
        <sz val="11"/>
        <color theme="1"/>
        <rFont val="DejaVu Sans"/>
        <family val="2"/>
      </rPr>
      <t xml:space="preserve">㎡</t>
    </r>
  </si>
  <si>
    <t xml:space="preserve">标配</t>
  </si>
  <si>
    <r>
      <rPr>
        <b val="true"/>
        <sz val="10"/>
        <color rgb="FF000000"/>
        <rFont val="Arial"/>
        <family val="0"/>
        <charset val="1"/>
      </rPr>
      <t xml:space="preserve">AI </t>
    </r>
    <r>
      <rPr>
        <b val="true"/>
        <sz val="10"/>
        <color rgb="FF000000"/>
        <rFont val="DejaVu Sans"/>
        <family val="2"/>
      </rPr>
      <t xml:space="preserve">视觉复核工作站</t>
    </r>
  </si>
  <si>
    <r>
      <rPr>
        <sz val="9"/>
        <color rgb="FF555555"/>
        <rFont val="DejaVu Sans"/>
        <family val="2"/>
      </rPr>
      <t xml:space="preserve">多角度相机 </t>
    </r>
    <r>
      <rPr>
        <sz val="9"/>
        <color rgb="FF555555"/>
        <rFont val="DejaVu Sans"/>
        <family val="2"/>
        <charset val="1"/>
      </rPr>
      <t xml:space="preserve">+ AI </t>
    </r>
    <r>
      <rPr>
        <sz val="9"/>
        <color rgb="FF555555"/>
        <rFont val="DejaVu Sans"/>
        <family val="2"/>
      </rPr>
      <t xml:space="preserve">识别料号</t>
    </r>
    <r>
      <rPr>
        <sz val="9"/>
        <color rgb="FF555555"/>
        <rFont val="DejaVu Sans"/>
        <family val="2"/>
        <charset val="1"/>
      </rPr>
      <t xml:space="preserve">/</t>
    </r>
    <r>
      <rPr>
        <sz val="9"/>
        <color rgb="FF555555"/>
        <rFont val="DejaVu Sans"/>
        <family val="2"/>
      </rPr>
      <t xml:space="preserve">数量</t>
    </r>
    <r>
      <rPr>
        <sz val="9"/>
        <color rgb="FF555555"/>
        <rFont val="DejaVu Sans"/>
        <family val="2"/>
        <charset val="1"/>
      </rPr>
      <t xml:space="preserve">/</t>
    </r>
    <r>
      <rPr>
        <sz val="9"/>
        <color rgb="FF555555"/>
        <rFont val="DejaVu Sans"/>
        <family val="2"/>
      </rPr>
      <t xml:space="preserve">外观，与 </t>
    </r>
    <r>
      <rPr>
        <sz val="9"/>
        <color rgb="FF555555"/>
        <rFont val="DejaVu Sans"/>
        <family val="2"/>
        <charset val="1"/>
      </rPr>
      <t xml:space="preserve">WMS </t>
    </r>
    <r>
      <rPr>
        <sz val="9"/>
        <color rgb="FF555555"/>
        <rFont val="DejaVu Sans"/>
        <family val="2"/>
      </rPr>
      <t xml:space="preserve">实时比对</t>
    </r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</si>
  <si>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套</t>
    </r>
  </si>
  <si>
    <r>
      <rPr>
        <sz val="11"/>
        <color theme="1"/>
        <rFont val="DejaVu Sans"/>
        <family val="2"/>
      </rPr>
      <t xml:space="preserve">必上 </t>
    </r>
    <r>
      <rPr>
        <sz val="11"/>
        <color theme="1"/>
        <rFont val="DejaVu Sans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错件停线</t>
    </r>
  </si>
  <si>
    <r>
      <rPr>
        <b val="true"/>
        <sz val="10"/>
        <color rgb="FF000000"/>
        <rFont val="Arial"/>
        <family val="0"/>
        <charset val="1"/>
      </rPr>
      <t xml:space="preserve">RFID </t>
    </r>
    <r>
      <rPr>
        <b val="true"/>
        <sz val="10"/>
        <color rgb="FF000000"/>
        <rFont val="DejaVu Sans"/>
        <family val="2"/>
      </rPr>
      <t xml:space="preserve">龙门架</t>
    </r>
  </si>
  <si>
    <r>
      <rPr>
        <sz val="9"/>
        <color rgb="FF555555"/>
        <rFont val="DejaVu Sans"/>
        <family val="2"/>
      </rPr>
      <t xml:space="preserve">发货前最后一关整车扫描，与客户 </t>
    </r>
    <r>
      <rPr>
        <sz val="9"/>
        <color rgb="FF555555"/>
        <rFont val="DejaVu Sans"/>
        <family val="2"/>
        <charset val="1"/>
      </rPr>
      <t xml:space="preserve">MES </t>
    </r>
    <r>
      <rPr>
        <sz val="9"/>
        <color rgb="FF555555"/>
        <rFont val="DejaVu Sans"/>
        <family val="2"/>
      </rPr>
      <t xml:space="preserve">实时回传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</si>
  <si>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套</t>
    </r>
  </si>
  <si>
    <r>
      <rPr>
        <sz val="11"/>
        <color theme="1"/>
        <rFont val="DejaVu Sans"/>
        <family val="2"/>
      </rPr>
      <t xml:space="preserve">必上 </t>
    </r>
    <r>
      <rPr>
        <sz val="11"/>
        <color theme="1"/>
        <rFont val="DejaVu Sans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多重追溯</t>
    </r>
  </si>
  <si>
    <r>
      <rPr>
        <b val="true"/>
        <sz val="10"/>
        <color rgb="FF000000"/>
        <rFont val="Arial"/>
        <family val="0"/>
        <charset val="1"/>
      </rPr>
      <t xml:space="preserve">Pick-to-Light </t>
    </r>
    <r>
      <rPr>
        <b val="true"/>
        <sz val="10"/>
        <color rgb="FF000000"/>
        <rFont val="DejaVu Sans"/>
        <family val="2"/>
      </rPr>
      <t xml:space="preserve">分拣</t>
    </r>
  </si>
  <si>
    <t xml:space="preserve">多单合并出货按订单号灯光分流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</si>
  <si>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DejaVu Sans"/>
        <family val="2"/>
      </rPr>
      <t xml:space="preserve">套</t>
    </r>
    <r>
      <rPr>
        <sz val="11"/>
        <color theme="1"/>
        <rFont val="Calibri"/>
        <family val="2"/>
        <charset val="1"/>
      </rPr>
      <t xml:space="preserve">(12 </t>
    </r>
    <r>
      <rPr>
        <sz val="11"/>
        <color theme="1"/>
        <rFont val="DejaVu Sans"/>
        <family val="2"/>
      </rPr>
      <t xml:space="preserve">位</t>
    </r>
    <r>
      <rPr>
        <sz val="11"/>
        <color theme="1"/>
        <rFont val="Calibri"/>
        <family val="2"/>
        <charset val="1"/>
      </rPr>
      <t xml:space="preserve">)</t>
    </r>
  </si>
  <si>
    <t xml:space="preserve">按需</t>
  </si>
  <si>
    <t xml:space="preserve">液压登车桥</t>
  </si>
  <si>
    <r>
      <rPr>
        <sz val="9"/>
        <color rgb="FF555555"/>
        <rFont val="DejaVu Sans"/>
        <family val="2"/>
      </rPr>
      <t xml:space="preserve">克服月台 </t>
    </r>
    <r>
      <rPr>
        <sz val="9"/>
        <color rgb="FF555555"/>
        <rFont val="DejaVu Sans"/>
        <family val="2"/>
        <charset val="1"/>
      </rPr>
      <t xml:space="preserve">0mm </t>
    </r>
    <r>
      <rPr>
        <sz val="9"/>
        <color rgb="FF555555"/>
        <rFont val="DejaVu Sans"/>
        <family val="2"/>
      </rPr>
      <t xml:space="preserve">高度差，</t>
    </r>
    <r>
      <rPr>
        <sz val="9"/>
        <color rgb="FF555555"/>
        <rFont val="DejaVu Sans"/>
        <family val="2"/>
        <charset val="1"/>
      </rPr>
      <t xml:space="preserve">AGV/</t>
    </r>
    <r>
      <rPr>
        <sz val="9"/>
        <color rgb="FF555555"/>
        <rFont val="DejaVu Sans"/>
        <family val="2"/>
      </rPr>
      <t xml:space="preserve">货车对接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</si>
  <si>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台</t>
    </r>
  </si>
  <si>
    <r>
      <rPr>
        <sz val="11"/>
        <color theme="1"/>
        <rFont val="DejaVu Sans"/>
        <family val="2"/>
      </rPr>
      <t xml:space="preserve">必上 </t>
    </r>
    <r>
      <rPr>
        <sz val="11"/>
        <color theme="1"/>
        <rFont val="DejaVu Sans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物理刚需</t>
    </r>
  </si>
  <si>
    <t xml:space="preserve">环节合计（方向性）</t>
  </si>
  <si>
    <r>
      <rPr>
        <sz val="9"/>
        <color rgb="FFC13C2E"/>
        <rFont val="DejaVu Sans"/>
        <family val="2"/>
      </rPr>
      <t xml:space="preserve">⚠ 口径提示：本环节按行项估算合计 ≈</t>
    </r>
    <r>
      <rPr>
        <sz val="9"/>
        <color rgb="FFC13C2E"/>
        <rFont val="DejaVu Sans"/>
        <family val="2"/>
        <charset val="1"/>
      </rPr>
      <t xml:space="preserve">202 </t>
    </r>
    <r>
      <rPr>
        <sz val="9"/>
        <color rgb="FFC13C2E"/>
        <rFont val="DejaVu Sans"/>
        <family val="2"/>
      </rPr>
      <t xml:space="preserve">万；设备层汇总取保守口径 </t>
    </r>
    <r>
      <rPr>
        <sz val="9"/>
        <color rgb="FFC13C2E"/>
        <rFont val="DejaVu Sans"/>
        <family val="2"/>
        <charset val="1"/>
      </rPr>
      <t xml:space="preserve">170 </t>
    </r>
    <r>
      <rPr>
        <sz val="9"/>
        <color rgb="FFC13C2E"/>
        <rFont val="DejaVu Sans"/>
        <family val="2"/>
      </rPr>
      <t xml:space="preserve">万（</t>
    </r>
    <r>
      <rPr>
        <sz val="9"/>
        <color rgb="FFC13C2E"/>
        <rFont val="DejaVu Sans"/>
        <family val="2"/>
        <charset val="1"/>
      </rPr>
      <t xml:space="preserve">±20%</t>
    </r>
    <r>
      <rPr>
        <sz val="9"/>
        <color rgb="FFC13C2E"/>
        <rFont val="DejaVu Sans"/>
        <family val="2"/>
      </rPr>
      <t xml:space="preserve">）。差异留待详细方案核定，二者均在浮动区间内。</t>
    </r>
  </si>
  <si>
    <t xml:space="preserve">分期实施路径与投资</t>
  </si>
  <si>
    <t xml:space="preserve">阶段</t>
  </si>
  <si>
    <t xml:space="preserve">时间窗</t>
  </si>
  <si>
    <t xml:space="preserve">关键动作</t>
  </si>
  <si>
    <r>
      <rPr>
        <b val="true"/>
        <sz val="11"/>
        <color rgb="FFFFFFFF"/>
        <rFont val="DejaVu Sans"/>
        <family val="2"/>
      </rPr>
      <t xml:space="preserve">本期投资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万元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</si>
  <si>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1A2B4A"/>
        <rFont val="DejaVu Sans"/>
        <family val="2"/>
      </rPr>
      <t xml:space="preserve">① 数字底座 </t>
    </r>
    <r>
      <rPr>
        <b val="true"/>
        <sz val="10"/>
        <color rgb="FF1A2B4A"/>
        <rFont val="DejaVu Sans"/>
        <family val="2"/>
        <charset val="1"/>
      </rPr>
      <t xml:space="preserve">+ </t>
    </r>
    <r>
      <rPr>
        <b val="true"/>
        <sz val="10"/>
        <color rgb="FF1A2B4A"/>
        <rFont val="DejaVu Sans"/>
        <family val="2"/>
      </rPr>
      <t xml:space="preserve">流程标准化</t>
    </r>
  </si>
  <si>
    <r>
      <rPr>
        <sz val="11"/>
        <color theme="1"/>
        <rFont val="DejaVu Sans"/>
        <family val="2"/>
      </rPr>
      <t xml:space="preserve">第 </t>
    </r>
    <r>
      <rPr>
        <sz val="11"/>
        <color theme="1"/>
        <rFont val="DejaVu Sans"/>
        <family val="2"/>
        <charset val="1"/>
      </rPr>
      <t xml:space="preserve">1–6 </t>
    </r>
    <r>
      <rPr>
        <sz val="11"/>
        <color theme="1"/>
        <rFont val="DejaVu Sans"/>
        <family val="2"/>
      </rPr>
      <t xml:space="preserve">个月</t>
    </r>
  </si>
  <si>
    <r>
      <rPr>
        <sz val="9"/>
        <color rgb="FF555555"/>
        <rFont val="Arial"/>
        <family val="0"/>
        <charset val="1"/>
      </rPr>
      <t xml:space="preserve">WMS/TMS </t>
    </r>
    <r>
      <rPr>
        <sz val="9"/>
        <color rgb="FF555555"/>
        <rFont val="DejaVu Sans"/>
        <family val="2"/>
      </rPr>
      <t xml:space="preserve">上线、货位编码细化、工位器具标准化、</t>
    </r>
    <r>
      <rPr>
        <sz val="9"/>
        <color rgb="FF555555"/>
        <rFont val="Arial"/>
        <family val="0"/>
        <charset val="1"/>
      </rPr>
      <t xml:space="preserve">PDA+RFID </t>
    </r>
    <r>
      <rPr>
        <sz val="9"/>
        <color rgb="FF555555"/>
        <rFont val="DejaVu Sans"/>
        <family val="2"/>
      </rPr>
      <t xml:space="preserve">试点、流程重构、工业 </t>
    </r>
    <r>
      <rPr>
        <sz val="9"/>
        <color rgb="FF555555"/>
        <rFont val="Arial"/>
        <family val="0"/>
        <charset val="1"/>
      </rPr>
      <t xml:space="preserve">WiFi </t>
    </r>
    <r>
      <rPr>
        <sz val="9"/>
        <color rgb="FF555555"/>
        <rFont val="DejaVu Sans"/>
        <family val="2"/>
      </rPr>
      <t xml:space="preserve">部署</t>
    </r>
  </si>
  <si>
    <t xml:space="preserve">② 核心区自动化设备</t>
  </si>
  <si>
    <r>
      <rPr>
        <sz val="11"/>
        <color theme="1"/>
        <rFont val="DejaVu Sans"/>
        <family val="2"/>
      </rPr>
      <t xml:space="preserve">第 </t>
    </r>
    <r>
      <rPr>
        <sz val="11"/>
        <color theme="1"/>
        <rFont val="DejaVu Sans"/>
        <family val="2"/>
        <charset val="1"/>
      </rPr>
      <t xml:space="preserve">7–18 </t>
    </r>
    <r>
      <rPr>
        <sz val="11"/>
        <color theme="1"/>
        <rFont val="DejaVu Sans"/>
        <family val="2"/>
      </rPr>
      <t xml:space="preserve">个月</t>
    </r>
  </si>
  <si>
    <r>
      <rPr>
        <sz val="9"/>
        <color rgb="FF555555"/>
        <rFont val="Arial"/>
        <family val="0"/>
        <charset val="1"/>
      </rPr>
      <t xml:space="preserve">A </t>
    </r>
    <r>
      <rPr>
        <sz val="9"/>
        <color rgb="FF555555"/>
        <rFont val="DejaVu Sans"/>
        <family val="2"/>
      </rPr>
      <t xml:space="preserve">区货架</t>
    </r>
    <r>
      <rPr>
        <sz val="9"/>
        <color rgb="FF555555"/>
        <rFont val="Arial"/>
        <family val="0"/>
        <charset val="1"/>
      </rPr>
      <t xml:space="preserve">+AGV</t>
    </r>
    <r>
      <rPr>
        <sz val="9"/>
        <color rgb="FF555555"/>
        <rFont val="DejaVu Sans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B1 </t>
    </r>
    <r>
      <rPr>
        <sz val="9"/>
        <color rgb="FF555555"/>
        <rFont val="DejaVu Sans"/>
        <family val="2"/>
      </rPr>
      <t xml:space="preserve">货到人 </t>
    </r>
    <r>
      <rPr>
        <sz val="9"/>
        <color rgb="FF555555"/>
        <rFont val="Arial"/>
        <family val="0"/>
        <charset val="1"/>
      </rPr>
      <t xml:space="preserve">AMR</t>
    </r>
    <r>
      <rPr>
        <sz val="9"/>
        <color rgb="FF555555"/>
        <rFont val="DejaVu Sans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B2 </t>
    </r>
    <r>
      <rPr>
        <sz val="9"/>
        <color rgb="FF555555"/>
        <rFont val="DejaVu Sans"/>
        <family val="2"/>
      </rPr>
      <t xml:space="preserve">批次锁定</t>
    </r>
    <r>
      <rPr>
        <sz val="9"/>
        <color rgb="FF555555"/>
        <rFont val="Arial"/>
        <family val="0"/>
        <charset val="1"/>
      </rPr>
      <t xml:space="preserve">+AI </t>
    </r>
    <r>
      <rPr>
        <sz val="9"/>
        <color rgb="FF555555"/>
        <rFont val="DejaVu Sans"/>
        <family val="2"/>
      </rPr>
      <t xml:space="preserve">视觉、集货</t>
    </r>
    <r>
      <rPr>
        <sz val="9"/>
        <color rgb="FF555555"/>
        <rFont val="Arial"/>
        <family val="0"/>
        <charset val="1"/>
      </rPr>
      <t xml:space="preserve">+AI </t>
    </r>
    <r>
      <rPr>
        <sz val="9"/>
        <color rgb="FF555555"/>
        <rFont val="DejaVu Sans"/>
        <family val="2"/>
      </rPr>
      <t xml:space="preserve">复核</t>
    </r>
    <r>
      <rPr>
        <sz val="9"/>
        <color rgb="FF555555"/>
        <rFont val="Arial"/>
        <family val="0"/>
        <charset val="1"/>
      </rPr>
      <t xml:space="preserve">+RFID </t>
    </r>
    <r>
      <rPr>
        <sz val="9"/>
        <color rgb="FF555555"/>
        <rFont val="DejaVu Sans"/>
        <family val="2"/>
      </rPr>
      <t xml:space="preserve">龙门、登车桥、</t>
    </r>
    <r>
      <rPr>
        <sz val="9"/>
        <color rgb="FF555555"/>
        <rFont val="Arial"/>
        <family val="0"/>
        <charset val="1"/>
      </rPr>
      <t xml:space="preserve">AI </t>
    </r>
    <r>
      <rPr>
        <sz val="9"/>
        <color rgb="FF555555"/>
        <rFont val="DejaVu Sans"/>
        <family val="2"/>
      </rPr>
      <t xml:space="preserve">调度初上</t>
    </r>
  </si>
  <si>
    <r>
      <rPr>
        <b val="true"/>
        <sz val="10"/>
        <color rgb="FF1A2B4A"/>
        <rFont val="DejaVu Sans"/>
        <family val="2"/>
      </rPr>
      <t xml:space="preserve">③ 长尾覆盖 </t>
    </r>
    <r>
      <rPr>
        <b val="true"/>
        <sz val="10"/>
        <color rgb="FF1A2B4A"/>
        <rFont val="DejaVu Sans"/>
        <family val="2"/>
        <charset val="1"/>
      </rPr>
      <t xml:space="preserve">+ </t>
    </r>
    <r>
      <rPr>
        <b val="true"/>
        <sz val="10"/>
        <color rgb="FF1A2B4A"/>
        <rFont val="DejaVu Sans"/>
        <family val="2"/>
      </rPr>
      <t xml:space="preserve">通用化复制</t>
    </r>
  </si>
  <si>
    <r>
      <rPr>
        <sz val="11"/>
        <color theme="1"/>
        <rFont val="DejaVu Sans"/>
        <family val="2"/>
      </rPr>
      <t xml:space="preserve">第 </t>
    </r>
    <r>
      <rPr>
        <sz val="11"/>
        <color theme="1"/>
        <rFont val="DejaVu Sans"/>
        <family val="2"/>
        <charset val="1"/>
      </rPr>
      <t xml:space="preserve">19–30 </t>
    </r>
    <r>
      <rPr>
        <sz val="11"/>
        <color theme="1"/>
        <rFont val="DejaVu Sans"/>
        <family val="2"/>
      </rPr>
      <t xml:space="preserve">个月</t>
    </r>
  </si>
  <si>
    <r>
      <rPr>
        <sz val="9"/>
        <color rgb="FF555555"/>
        <rFont val="Arial"/>
        <family val="0"/>
        <charset val="1"/>
      </rPr>
      <t xml:space="preserve">C </t>
    </r>
    <r>
      <rPr>
        <sz val="9"/>
        <color rgb="FF555555"/>
        <rFont val="DejaVu Sans"/>
        <family val="2"/>
      </rPr>
      <t xml:space="preserve">区 </t>
    </r>
    <r>
      <rPr>
        <sz val="9"/>
        <color rgb="FF555555"/>
        <rFont val="Arial"/>
        <family val="0"/>
        <charset val="1"/>
      </rPr>
      <t xml:space="preserve">Mezzanine+</t>
    </r>
    <r>
      <rPr>
        <sz val="9"/>
        <color rgb="FF555555"/>
        <rFont val="DejaVu Sans"/>
        <family val="2"/>
      </rPr>
      <t xml:space="preserve">货架、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DejaVu Sans"/>
        <family val="2"/>
      </rPr>
      <t xml:space="preserve">区悬臂货架、</t>
    </r>
    <r>
      <rPr>
        <sz val="9"/>
        <color rgb="FF555555"/>
        <rFont val="Arial"/>
        <family val="0"/>
        <charset val="1"/>
      </rPr>
      <t xml:space="preserve">AI </t>
    </r>
    <r>
      <rPr>
        <sz val="9"/>
        <color rgb="FF555555"/>
        <rFont val="DejaVu Sans"/>
        <family val="2"/>
      </rPr>
      <t xml:space="preserve">决策闭环、经验沉淀模板、向其他节点平移</t>
    </r>
  </si>
  <si>
    <t xml:space="preserve">合计</t>
  </si>
  <si>
    <r>
      <rPr>
        <sz val="9"/>
        <color rgb="FF7A6A4F"/>
        <rFont val="DejaVu Sans"/>
        <family val="2"/>
      </rPr>
      <t xml:space="preserve">注：三期合计 ≈</t>
    </r>
    <r>
      <rPr>
        <sz val="9"/>
        <color rgb="FF7A6A4F"/>
        <rFont val="DejaVu Sans"/>
        <family val="2"/>
        <charset val="1"/>
      </rPr>
      <t xml:space="preserve">1,165 </t>
    </r>
    <r>
      <rPr>
        <sz val="9"/>
        <color rgb="FF7A6A4F"/>
        <rFont val="DejaVu Sans"/>
        <family val="2"/>
      </rPr>
      <t xml:space="preserve">万，与投资明细总额一致；每期均可独立见效并为下期铺路。</t>
    </r>
  </si>
  <si>
    <r>
      <rPr>
        <b val="true"/>
        <sz val="14"/>
        <color rgb="FF1A2B4A"/>
        <rFont val="Arial"/>
        <family val="0"/>
        <charset val="1"/>
      </rPr>
      <t xml:space="preserve">ASRS / Shuttle / </t>
    </r>
    <r>
      <rPr>
        <b val="true"/>
        <sz val="14"/>
        <color rgb="FF1A2B4A"/>
        <rFont val="DejaVu Sans"/>
        <family val="2"/>
      </rPr>
      <t xml:space="preserve">五区混合 选型对比</t>
    </r>
  </si>
  <si>
    <t xml:space="preserve">方案</t>
  </si>
  <si>
    <r>
      <rPr>
        <b val="true"/>
        <sz val="11"/>
        <color rgb="FFFFFFFF"/>
        <rFont val="DejaVu Sans"/>
        <family val="2"/>
      </rPr>
      <t xml:space="preserve">投资估算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万元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</si>
  <si>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回收期</t>
  </si>
  <si>
    <t xml:space="preserve">结论</t>
  </si>
  <si>
    <r>
      <rPr>
        <b val="true"/>
        <sz val="10"/>
        <color rgb="FF1A2B4A"/>
        <rFont val="DejaVu Sans"/>
        <family val="2"/>
      </rPr>
      <t xml:space="preserve">① 全 </t>
    </r>
    <r>
      <rPr>
        <b val="true"/>
        <sz val="10"/>
        <color rgb="FF1A2B4A"/>
        <rFont val="DejaVu Sans"/>
        <family val="2"/>
        <charset val="1"/>
      </rPr>
      <t xml:space="preserve">ASRS </t>
    </r>
    <r>
      <rPr>
        <b val="true"/>
        <sz val="10"/>
        <color rgb="FF1A2B4A"/>
        <rFont val="DejaVu Sans"/>
        <family val="2"/>
      </rPr>
      <t xml:space="preserve">覆盖</t>
    </r>
  </si>
  <si>
    <t xml:space="preserve">2,500–3,500</t>
  </si>
  <si>
    <t xml:space="preserve">≤30%</t>
  </si>
  <si>
    <r>
      <rPr>
        <sz val="11"/>
        <color theme="1"/>
        <rFont val="Calibri"/>
        <family val="2"/>
        <charset val="1"/>
      </rPr>
      <t xml:space="preserve">&gt; 6 </t>
    </r>
    <r>
      <rPr>
        <sz val="11"/>
        <color theme="1"/>
        <rFont val="DejaVu Sans"/>
        <family val="2"/>
      </rPr>
      <t xml:space="preserve">年</t>
    </r>
  </si>
  <si>
    <t xml:space="preserve">极差</t>
  </si>
  <si>
    <r>
      <rPr>
        <sz val="9"/>
        <color rgb="FF000000"/>
        <rFont val="Arial"/>
        <family val="0"/>
        <charset val="1"/>
      </rPr>
      <t xml:space="preserve">✗ SKU </t>
    </r>
    <r>
      <rPr>
        <sz val="9"/>
        <color rgb="FF000000"/>
        <rFont val="DejaVu Sans"/>
        <family val="2"/>
      </rPr>
      <t xml:space="preserve">异质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长尾拆零，与高密度单元化不符</t>
    </r>
  </si>
  <si>
    <r>
      <rPr>
        <b val="true"/>
        <sz val="10"/>
        <color rgb="FF1A2B4A"/>
        <rFont val="Arial"/>
        <family val="0"/>
        <charset val="1"/>
      </rPr>
      <t xml:space="preserve">② Shuttle </t>
    </r>
    <r>
      <rPr>
        <b val="true"/>
        <sz val="10"/>
        <color rgb="FF1A2B4A"/>
        <rFont val="DejaVu Sans"/>
        <family val="2"/>
      </rPr>
      <t xml:space="preserve">驶入式</t>
    </r>
  </si>
  <si>
    <t xml:space="preserve">800–1,200</t>
  </si>
  <si>
    <t xml:space="preserve">≤35%</t>
  </si>
  <si>
    <r>
      <rPr>
        <sz val="11"/>
        <color theme="1"/>
        <rFont val="Calibri"/>
        <family val="2"/>
        <charset val="1"/>
      </rPr>
      <t xml:space="preserve">&gt; 5 </t>
    </r>
    <r>
      <rPr>
        <sz val="11"/>
        <color theme="1"/>
        <rFont val="DejaVu Sans"/>
        <family val="2"/>
      </rPr>
      <t xml:space="preserve">年</t>
    </r>
  </si>
  <si>
    <t xml:space="preserve">差</t>
  </si>
  <si>
    <r>
      <rPr>
        <sz val="9"/>
        <color rgb="FF000000"/>
        <rFont val="DejaVu Sans"/>
        <family val="2"/>
      </rPr>
      <t xml:space="preserve">✗ 适合少品类大批量，与多品类小批量 </t>
    </r>
    <r>
      <rPr>
        <sz val="9"/>
        <color rgb="FF000000"/>
        <rFont val="DejaVu Sans"/>
        <family val="2"/>
        <charset val="1"/>
      </rPr>
      <t xml:space="preserve">JIT </t>
    </r>
    <r>
      <rPr>
        <sz val="9"/>
        <color rgb="FF000000"/>
        <rFont val="DejaVu Sans"/>
        <family val="2"/>
      </rPr>
      <t xml:space="preserve">相反</t>
    </r>
  </si>
  <si>
    <t xml:space="preserve">③ 五区混合（推荐）</t>
  </si>
  <si>
    <t xml:space="preserve">≈ 1,165</t>
  </si>
  <si>
    <t xml:space="preserve">≈50%</t>
  </si>
  <si>
    <r>
      <rPr>
        <sz val="11"/>
        <color theme="1"/>
        <rFont val="Calibri"/>
        <family val="2"/>
        <charset val="1"/>
      </rPr>
      <t xml:space="preserve">≈ 3 </t>
    </r>
    <r>
      <rPr>
        <sz val="11"/>
        <color theme="1"/>
        <rFont val="DejaVu Sans"/>
        <family val="2"/>
      </rPr>
      <t xml:space="preserve">年</t>
    </r>
  </si>
  <si>
    <t xml:space="preserve">强</t>
  </si>
  <si>
    <r>
      <rPr>
        <sz val="9"/>
        <color rgb="FF000000"/>
        <rFont val="DejaVu Sans"/>
        <family val="2"/>
      </rPr>
      <t xml:space="preserve">✓ 每类 </t>
    </r>
    <r>
      <rPr>
        <sz val="9"/>
        <color rgb="FF000000"/>
        <rFont val="DejaVu Sans"/>
        <family val="2"/>
        <charset val="1"/>
      </rPr>
      <t xml:space="preserve">SKU </t>
    </r>
    <r>
      <rPr>
        <sz val="9"/>
        <color rgb="FF000000"/>
        <rFont val="DejaVu Sans"/>
        <family val="2"/>
      </rPr>
      <t xml:space="preserve">用最匹配技术，模块化</t>
    </r>
    <r>
      <rPr>
        <sz val="9"/>
        <color rgb="FF000000"/>
        <rFont val="DejaVu Sans"/>
        <family val="2"/>
        <charset val="1"/>
      </rPr>
      <t xml:space="preserve">+</t>
    </r>
    <r>
      <rPr>
        <sz val="9"/>
        <color rgb="FF000000"/>
        <rFont val="DejaVu Sans"/>
        <family val="2"/>
      </rPr>
      <t xml:space="preserve">软件可迁移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</si>
</sst>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#,##0.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B4A"/>
      <name val="DejaVu Sans"/>
      <family val="2"/>
    </font>
    <font>
      <b val="true"/>
      <sz val="16"/>
      <color rgb="FF1A2B4A"/>
      <name val="DejaVu Sans"/>
      <family val="2"/>
      <charset val="1"/>
    </font>
    <font>
      <sz val="9"/>
      <color rgb="FF7A6A4F"/>
      <name val="DejaVu Sans"/>
      <family val="2"/>
    </font>
    <font>
      <sz val="9"/>
      <color rgb="FF7A6A4F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sz val="11"/>
      <color rgb="FF1A2B4A"/>
      <name val="DejaVu Sans"/>
      <family val="2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1"/>
      <color rgb="FF1A2B4A"/>
      <name val="DejaVu Sans"/>
      <family val="2"/>
    </font>
    <font>
      <b val="true"/>
      <sz val="11"/>
      <color rgb="FF1A2B4A"/>
      <name val="Arial"/>
      <family val="0"/>
      <charset val="1"/>
    </font>
    <font>
      <sz val="10"/>
      <color rgb="FF7A6A4F"/>
      <name val="DejaVu Sans"/>
      <family val="2"/>
    </font>
    <font>
      <sz val="10"/>
      <color rgb="FF7A6A4F"/>
      <name val="DejaVu Sans"/>
      <family val="2"/>
      <charset val="1"/>
    </font>
    <font>
      <b val="true"/>
      <sz val="15"/>
      <color rgb="FF1A2B4A"/>
      <name val="DejaVu Sans"/>
      <family val="2"/>
    </font>
    <font>
      <b val="true"/>
      <sz val="15"/>
      <color rgb="FF1A2B4A"/>
      <name val="DejaVu Sans"/>
      <family val="2"/>
      <charset val="1"/>
    </font>
    <font>
      <b val="true"/>
      <sz val="11"/>
      <color rgb="FF1A2B4A"/>
      <name val="DejaVu Sans"/>
      <family val="2"/>
      <charset val="1"/>
    </font>
    <font>
      <sz val="11"/>
      <color theme="1"/>
      <name val="DejaVu Sans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DejaVu Sans"/>
      <family val="2"/>
    </font>
    <font>
      <sz val="9"/>
      <color rgb="FF555555"/>
      <name val="Arial"/>
      <family val="0"/>
      <charset val="1"/>
    </font>
    <font>
      <sz val="9"/>
      <color rgb="FF555555"/>
      <name val="DejaVu Sans"/>
      <family val="2"/>
    </font>
    <font>
      <sz val="9"/>
      <color rgb="FF555555"/>
      <name val="DejaVu Sans"/>
      <family val="2"/>
      <charset val="1"/>
    </font>
    <font>
      <b val="true"/>
      <sz val="10"/>
      <color rgb="FF000000"/>
      <name val="DejaVu Sans"/>
      <family val="2"/>
      <charset val="1"/>
    </font>
    <font>
      <b val="true"/>
      <sz val="10"/>
      <color rgb="FF1A2B4A"/>
      <name val="DejaVu Sans"/>
      <family val="2"/>
    </font>
    <font>
      <b val="true"/>
      <sz val="10"/>
      <color rgb="FF1A2B4A"/>
      <name val="DejaVu Sans"/>
      <family val="2"/>
      <charset val="1"/>
    </font>
    <font>
      <sz val="10"/>
      <color rgb="FF555555"/>
      <name val="DejaVu Sans"/>
      <family val="2"/>
    </font>
    <font>
      <b val="true"/>
      <sz val="14"/>
      <color rgb="FF1A2B4A"/>
      <name val="DejaVu Sans"/>
      <family val="2"/>
    </font>
    <font>
      <b val="true"/>
      <sz val="14"/>
      <color rgb="FF1A2B4A"/>
      <name val="DejaVu Sans"/>
      <family val="2"/>
      <charset val="1"/>
    </font>
    <font>
      <sz val="11"/>
      <color theme="1"/>
      <name val="DejaVu Sans"/>
      <family val="2"/>
      <charset val="1"/>
    </font>
    <font>
      <sz val="9"/>
      <color rgb="FFC13C2E"/>
      <name val="DejaVu Sans"/>
      <family val="2"/>
    </font>
    <font>
      <sz val="9"/>
      <color rgb="FFC13C2E"/>
      <name val="DejaVu Sans"/>
      <family val="2"/>
      <charset val="1"/>
    </font>
    <font>
      <b val="true"/>
      <sz val="14"/>
      <color rgb="FF1A2B4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  <font>
      <b val="true"/>
      <sz val="10"/>
      <color rgb="FF1A2B4A"/>
      <name val="Arial"/>
      <family val="0"/>
      <charset val="1"/>
    </font>
    <font>
      <sz val="9"/>
      <color rgb="FF000000"/>
      <name val="DejaVu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F5D89C"/>
        <bgColor rgb="FFD9CBB2"/>
      </patternFill>
    </fill>
    <fill>
      <patternFill patternType="solid">
        <fgColor rgb="FFFB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BB2"/>
      </left>
      <right style="thin">
        <color rgb="FFD9CBB2"/>
      </right>
      <top style="thin">
        <color rgb="FFD9CBB2"/>
      </top>
      <bottom style="thin">
        <color rgb="FFD9CB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B2"/>
      <rgbColor rgb="FF7A6A4F"/>
      <rgbColor rgb="FF9999FF"/>
      <rgbColor rgb="FF993366"/>
      <rgbColor rgb="FFFB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89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13C2E"/>
      <rgbColor rgb="FF993366"/>
      <rgbColor rgb="FF333399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1.2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f aca="false">投资明细!D9</f>
        <v>300</v>
      </c>
      <c r="C5" s="7" t="n">
        <f aca="false">B5/$B$8</f>
        <v>0.257510729613734</v>
      </c>
      <c r="D5" s="8" t="s">
        <v>7</v>
      </c>
    </row>
    <row r="6" customFormat="false" ht="15" hidden="false" customHeight="true" outlineLevel="0" collapsed="false">
      <c r="A6" s="5" t="s">
        <v>8</v>
      </c>
      <c r="B6" s="6" t="n">
        <f aca="false">投资明细!D17</f>
        <v>810</v>
      </c>
      <c r="C6" s="7" t="n">
        <f aca="false">B6/$B$8</f>
        <v>0.695278969957082</v>
      </c>
      <c r="D6" s="8" t="s">
        <v>9</v>
      </c>
    </row>
    <row r="7" customFormat="false" ht="15" hidden="false" customHeight="true" outlineLevel="0" collapsed="false">
      <c r="A7" s="5" t="s">
        <v>10</v>
      </c>
      <c r="B7" s="6" t="n">
        <f aca="false">投资明细!D23</f>
        <v>55</v>
      </c>
      <c r="C7" s="7" t="n">
        <f aca="false">B7/$B$8</f>
        <v>0.0472103004291846</v>
      </c>
      <c r="D7" s="8" t="s">
        <v>11</v>
      </c>
    </row>
    <row r="8" customFormat="false" ht="15" hidden="false" customHeight="true" outlineLevel="0" collapsed="false">
      <c r="A8" s="9" t="s">
        <v>12</v>
      </c>
      <c r="B8" s="10" t="n">
        <f aca="false">B5+B6+B7</f>
        <v>1165</v>
      </c>
      <c r="C8" s="11" t="n">
        <f aca="false">B8/$B$8</f>
        <v>1</v>
      </c>
      <c r="D8" s="12" t="s">
        <v>13</v>
      </c>
    </row>
    <row r="10" customFormat="false" ht="15" hidden="false" customHeight="true" outlineLevel="0" collapsed="false">
      <c r="A10" s="13" t="s">
        <v>14</v>
      </c>
    </row>
    <row r="11" customFormat="false" ht="15" hidden="false" customHeight="true" outlineLevel="0" collapsed="false">
      <c r="A11" s="14" t="s">
        <v>6</v>
      </c>
      <c r="B11" s="7" t="n">
        <f aca="false">B5/$B$8</f>
        <v>0.257510729613734</v>
      </c>
    </row>
    <row r="12" customFormat="false" ht="15" hidden="false" customHeight="true" outlineLevel="0" collapsed="false">
      <c r="A12" s="14" t="s">
        <v>8</v>
      </c>
      <c r="B12" s="7" t="n">
        <f aca="false">B6/$B$8</f>
        <v>0.695278969957082</v>
      </c>
    </row>
    <row r="13" customFormat="false" ht="15" hidden="false" customHeight="true" outlineLevel="0" collapsed="false">
      <c r="A13" s="14" t="s">
        <v>10</v>
      </c>
      <c r="B13" s="7" t="n">
        <f aca="false">B7/$B$8</f>
        <v>0.0472103004291846</v>
      </c>
    </row>
    <row r="15" customFormat="false" ht="15" hidden="false" customHeight="true" outlineLevel="0" collapsed="false">
      <c r="A15" s="15" t="s">
        <v>15</v>
      </c>
      <c r="B15" s="15"/>
      <c r="C15" s="15"/>
      <c r="D15" s="15"/>
    </row>
    <row r="16" customFormat="false" ht="15" hidden="false" customHeight="true" outlineLevel="0" collapsed="false">
      <c r="A16" s="15"/>
      <c r="B16" s="15"/>
      <c r="C16" s="15"/>
      <c r="D16" s="15"/>
    </row>
  </sheetData>
  <mergeCells count="3">
    <mergeCell ref="A1:D1"/>
    <mergeCell ref="A2:D2"/>
    <mergeCell ref="A15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0"/>
  </cols>
  <sheetData>
    <row r="1" customFormat="false" ht="25.5" hidden="false" customHeight="true" outlineLevel="0" collapsed="false">
      <c r="A1" s="16" t="s">
        <v>16</v>
      </c>
      <c r="B1" s="16"/>
      <c r="C1" s="16"/>
      <c r="D1" s="16"/>
      <c r="E1" s="16"/>
      <c r="F1" s="16"/>
      <c r="G1" s="16"/>
    </row>
    <row r="3" customFormat="false" ht="21.75" hidden="false" customHeight="true" outlineLevel="0" collapsed="false">
      <c r="A3" s="4" t="s">
        <v>17</v>
      </c>
      <c r="B3" s="4" t="s">
        <v>18</v>
      </c>
      <c r="C3" s="4" t="s">
        <v>5</v>
      </c>
      <c r="D3" s="4" t="s">
        <v>19</v>
      </c>
      <c r="E3" s="4" t="s">
        <v>20</v>
      </c>
      <c r="F3" s="4" t="s">
        <v>21</v>
      </c>
      <c r="G3" s="4" t="s">
        <v>22</v>
      </c>
    </row>
    <row r="4" customFormat="false" ht="15" hidden="false" customHeight="true" outlineLevel="0" collapsed="false">
      <c r="A4" s="9" t="s">
        <v>23</v>
      </c>
      <c r="B4" s="9"/>
      <c r="C4" s="9"/>
      <c r="D4" s="9"/>
      <c r="E4" s="9"/>
      <c r="F4" s="9"/>
      <c r="G4" s="9"/>
    </row>
    <row r="5" customFormat="false" ht="15" hidden="false" customHeight="true" outlineLevel="0" collapsed="false">
      <c r="A5" s="17" t="s">
        <v>24</v>
      </c>
      <c r="B5" s="18" t="s">
        <v>25</v>
      </c>
      <c r="C5" s="19" t="s">
        <v>26</v>
      </c>
      <c r="D5" s="6" t="n">
        <v>120</v>
      </c>
      <c r="E5" s="7" t="n">
        <v>1</v>
      </c>
      <c r="F5" s="20" t="n">
        <f aca="false">D5*E5</f>
        <v>120</v>
      </c>
      <c r="G5" s="21" t="s">
        <v>27</v>
      </c>
    </row>
    <row r="6" customFormat="false" ht="15" hidden="false" customHeight="true" outlineLevel="0" collapsed="false">
      <c r="A6" s="17" t="s">
        <v>24</v>
      </c>
      <c r="B6" s="18" t="s">
        <v>28</v>
      </c>
      <c r="C6" s="22" t="s">
        <v>29</v>
      </c>
      <c r="D6" s="6" t="n">
        <v>40</v>
      </c>
      <c r="E6" s="7" t="n">
        <v>1</v>
      </c>
      <c r="F6" s="20" t="n">
        <f aca="false">D6*E6</f>
        <v>40</v>
      </c>
      <c r="G6" s="21" t="s">
        <v>27</v>
      </c>
    </row>
    <row r="7" customFormat="false" ht="15" hidden="false" customHeight="true" outlineLevel="0" collapsed="false">
      <c r="A7" s="17" t="s">
        <v>24</v>
      </c>
      <c r="B7" s="18" t="s">
        <v>30</v>
      </c>
      <c r="C7" s="19" t="s">
        <v>31</v>
      </c>
      <c r="D7" s="6" t="n">
        <v>80</v>
      </c>
      <c r="E7" s="7" t="n">
        <v>1</v>
      </c>
      <c r="F7" s="20" t="n">
        <f aca="false">D7*E7</f>
        <v>80</v>
      </c>
      <c r="G7" s="21" t="s">
        <v>27</v>
      </c>
    </row>
    <row r="8" customFormat="false" ht="15" hidden="false" customHeight="true" outlineLevel="0" collapsed="false">
      <c r="A8" s="17" t="s">
        <v>24</v>
      </c>
      <c r="B8" s="23" t="s">
        <v>32</v>
      </c>
      <c r="C8" s="22" t="s">
        <v>33</v>
      </c>
      <c r="D8" s="6" t="n">
        <v>60</v>
      </c>
      <c r="E8" s="7" t="n">
        <v>1</v>
      </c>
      <c r="F8" s="20" t="n">
        <f aca="false">D8*E8</f>
        <v>60</v>
      </c>
      <c r="G8" s="21" t="s">
        <v>27</v>
      </c>
    </row>
    <row r="9" customFormat="false" ht="15" hidden="false" customHeight="true" outlineLevel="0" collapsed="false">
      <c r="A9" s="24"/>
      <c r="B9" s="25" t="s">
        <v>34</v>
      </c>
      <c r="C9" s="24"/>
      <c r="D9" s="26" t="n">
        <f aca="false">SUM(D5:D8)</f>
        <v>300</v>
      </c>
      <c r="E9" s="27" t="n">
        <f aca="false">F9/D9</f>
        <v>1</v>
      </c>
      <c r="F9" s="28" t="n">
        <f aca="false">SUM(F5:F8)</f>
        <v>300</v>
      </c>
      <c r="G9" s="24"/>
    </row>
    <row r="10" customFormat="false" ht="15" hidden="false" customHeight="true" outlineLevel="0" collapsed="false">
      <c r="A10" s="9" t="s">
        <v>35</v>
      </c>
      <c r="B10" s="9"/>
      <c r="C10" s="9"/>
      <c r="D10" s="9"/>
      <c r="E10" s="9"/>
      <c r="F10" s="9"/>
      <c r="G10" s="9"/>
    </row>
    <row r="11" customFormat="false" ht="15" hidden="false" customHeight="true" outlineLevel="0" collapsed="false">
      <c r="A11" s="17" t="s">
        <v>36</v>
      </c>
      <c r="B11" s="18" t="s">
        <v>37</v>
      </c>
      <c r="C11" s="19" t="s">
        <v>38</v>
      </c>
      <c r="D11" s="6" t="n">
        <v>150</v>
      </c>
      <c r="E11" s="7" t="n">
        <v>0.7</v>
      </c>
      <c r="F11" s="20" t="n">
        <f aca="false">D11*E11</f>
        <v>105</v>
      </c>
      <c r="G11" s="17" t="s">
        <v>39</v>
      </c>
    </row>
    <row r="12" customFormat="false" ht="15" hidden="false" customHeight="true" outlineLevel="0" collapsed="false">
      <c r="A12" s="17" t="s">
        <v>36</v>
      </c>
      <c r="B12" s="18" t="s">
        <v>40</v>
      </c>
      <c r="C12" s="19" t="s">
        <v>41</v>
      </c>
      <c r="D12" s="6" t="n">
        <v>170</v>
      </c>
      <c r="E12" s="7" t="n">
        <v>0.65</v>
      </c>
      <c r="F12" s="20" t="n">
        <f aca="false">D12*E12</f>
        <v>110.5</v>
      </c>
      <c r="G12" s="17" t="s">
        <v>39</v>
      </c>
    </row>
    <row r="13" customFormat="false" ht="21.75" hidden="false" customHeight="true" outlineLevel="0" collapsed="false">
      <c r="A13" s="17" t="s">
        <v>36</v>
      </c>
      <c r="B13" s="18" t="s">
        <v>42</v>
      </c>
      <c r="C13" s="19" t="s">
        <v>43</v>
      </c>
      <c r="D13" s="6" t="n">
        <v>230</v>
      </c>
      <c r="E13" s="7" t="n">
        <v>0.55</v>
      </c>
      <c r="F13" s="20" t="n">
        <f aca="false">D13*E13</f>
        <v>126.5</v>
      </c>
      <c r="G13" s="17" t="s">
        <v>44</v>
      </c>
    </row>
    <row r="14" customFormat="false" ht="15" hidden="false" customHeight="true" outlineLevel="0" collapsed="false">
      <c r="A14" s="17" t="s">
        <v>36</v>
      </c>
      <c r="B14" s="18" t="s">
        <v>45</v>
      </c>
      <c r="C14" s="19" t="s">
        <v>46</v>
      </c>
      <c r="D14" s="6" t="n">
        <v>75</v>
      </c>
      <c r="E14" s="7" t="n">
        <v>0.4</v>
      </c>
      <c r="F14" s="20" t="n">
        <f aca="false">D14*E14</f>
        <v>30</v>
      </c>
      <c r="G14" s="17" t="s">
        <v>44</v>
      </c>
    </row>
    <row r="15" customFormat="false" ht="15" hidden="false" customHeight="true" outlineLevel="0" collapsed="false">
      <c r="A15" s="17" t="s">
        <v>36</v>
      </c>
      <c r="B15" s="18" t="s">
        <v>47</v>
      </c>
      <c r="C15" s="19" t="s">
        <v>48</v>
      </c>
      <c r="D15" s="6" t="n">
        <v>15</v>
      </c>
      <c r="E15" s="7" t="n">
        <v>0.5</v>
      </c>
      <c r="F15" s="20" t="n">
        <f aca="false">D15*E15</f>
        <v>7.5</v>
      </c>
      <c r="G15" s="17" t="s">
        <v>39</v>
      </c>
    </row>
    <row r="16" customFormat="false" ht="21.75" hidden="false" customHeight="true" outlineLevel="0" collapsed="false">
      <c r="A16" s="17" t="s">
        <v>36</v>
      </c>
      <c r="B16" s="23" t="s">
        <v>49</v>
      </c>
      <c r="C16" s="19" t="s">
        <v>50</v>
      </c>
      <c r="D16" s="6" t="n">
        <v>170</v>
      </c>
      <c r="E16" s="7" t="n">
        <v>0.55</v>
      </c>
      <c r="F16" s="20" t="n">
        <f aca="false">D16*E16</f>
        <v>93.5</v>
      </c>
      <c r="G16" s="17" t="s">
        <v>39</v>
      </c>
    </row>
    <row r="17" customFormat="false" ht="15" hidden="false" customHeight="true" outlineLevel="0" collapsed="false">
      <c r="A17" s="24"/>
      <c r="B17" s="25" t="s">
        <v>51</v>
      </c>
      <c r="C17" s="24"/>
      <c r="D17" s="26" t="n">
        <f aca="false">SUM(D11:D16)</f>
        <v>810</v>
      </c>
      <c r="E17" s="27" t="n">
        <f aca="false">F17/D17</f>
        <v>0.583950617283951</v>
      </c>
      <c r="F17" s="28" t="n">
        <f aca="false">SUM(F11:F16)</f>
        <v>473</v>
      </c>
      <c r="G17" s="24"/>
    </row>
    <row r="18" customFormat="false" ht="15" hidden="false" customHeight="true" outlineLevel="0" collapsed="false">
      <c r="A18" s="9" t="s">
        <v>52</v>
      </c>
      <c r="B18" s="9"/>
      <c r="C18" s="9"/>
      <c r="D18" s="9"/>
      <c r="E18" s="9"/>
      <c r="F18" s="9"/>
      <c r="G18" s="9"/>
    </row>
    <row r="19" customFormat="false" ht="15" hidden="false" customHeight="true" outlineLevel="0" collapsed="false">
      <c r="A19" s="17" t="s">
        <v>53</v>
      </c>
      <c r="B19" s="23" t="s">
        <v>54</v>
      </c>
      <c r="C19" s="22" t="s">
        <v>55</v>
      </c>
      <c r="D19" s="6" t="n">
        <v>22</v>
      </c>
      <c r="E19" s="7" t="n">
        <v>0.3</v>
      </c>
      <c r="F19" s="20" t="n">
        <f aca="false">D19*E19</f>
        <v>6.6</v>
      </c>
      <c r="G19" s="17" t="s">
        <v>44</v>
      </c>
    </row>
    <row r="20" customFormat="false" ht="15" hidden="false" customHeight="true" outlineLevel="0" collapsed="false">
      <c r="A20" s="17" t="s">
        <v>53</v>
      </c>
      <c r="B20" s="23" t="s">
        <v>56</v>
      </c>
      <c r="C20" s="22" t="s">
        <v>57</v>
      </c>
      <c r="D20" s="6" t="n">
        <v>18</v>
      </c>
      <c r="E20" s="7" t="n">
        <v>0.1</v>
      </c>
      <c r="F20" s="20" t="n">
        <f aca="false">D20*E20</f>
        <v>1.8</v>
      </c>
      <c r="G20" s="17" t="s">
        <v>58</v>
      </c>
    </row>
    <row r="21" customFormat="false" ht="15" hidden="false" customHeight="true" outlineLevel="0" collapsed="false">
      <c r="A21" s="17" t="s">
        <v>53</v>
      </c>
      <c r="B21" s="23" t="s">
        <v>59</v>
      </c>
      <c r="C21" s="22" t="s">
        <v>60</v>
      </c>
      <c r="D21" s="6" t="n">
        <v>10</v>
      </c>
      <c r="E21" s="7" t="n">
        <v>0</v>
      </c>
      <c r="F21" s="20" t="n">
        <f aca="false">D21*E21</f>
        <v>0</v>
      </c>
      <c r="G21" s="17" t="s">
        <v>61</v>
      </c>
    </row>
    <row r="22" customFormat="false" ht="15" hidden="false" customHeight="true" outlineLevel="0" collapsed="false">
      <c r="A22" s="17" t="s">
        <v>53</v>
      </c>
      <c r="B22" s="23" t="s">
        <v>62</v>
      </c>
      <c r="C22" s="22" t="s">
        <v>63</v>
      </c>
      <c r="D22" s="6" t="n">
        <v>5</v>
      </c>
      <c r="E22" s="7" t="n">
        <v>0.2</v>
      </c>
      <c r="F22" s="20" t="n">
        <f aca="false">D22*E22</f>
        <v>1</v>
      </c>
      <c r="G22" s="17" t="s">
        <v>58</v>
      </c>
    </row>
    <row r="23" customFormat="false" ht="15" hidden="false" customHeight="true" outlineLevel="0" collapsed="false">
      <c r="A23" s="24"/>
      <c r="B23" s="25" t="s">
        <v>64</v>
      </c>
      <c r="C23" s="24"/>
      <c r="D23" s="26" t="n">
        <f aca="false">SUM(D19:D22)</f>
        <v>55</v>
      </c>
      <c r="E23" s="27" t="n">
        <f aca="false">F23/D23</f>
        <v>0.170909090909091</v>
      </c>
      <c r="F23" s="28" t="n">
        <f aca="false">SUM(F19:F22)</f>
        <v>9.4</v>
      </c>
      <c r="G23" s="24"/>
    </row>
    <row r="25" customFormat="false" ht="15" hidden="false" customHeight="true" outlineLevel="0" collapsed="false">
      <c r="A25" s="29"/>
      <c r="B25" s="9" t="s">
        <v>65</v>
      </c>
      <c r="C25" s="29"/>
      <c r="D25" s="30" t="n">
        <f aca="false">D9+D17+D23</f>
        <v>1165</v>
      </c>
      <c r="E25" s="29"/>
      <c r="F25" s="31" t="n">
        <f aca="false">F9+F17+F23</f>
        <v>782.4</v>
      </c>
      <c r="G25" s="29"/>
    </row>
    <row r="26" customFormat="false" ht="15" hidden="false" customHeight="true" outlineLevel="0" collapsed="false">
      <c r="B26" s="32" t="s">
        <v>66</v>
      </c>
      <c r="E26" s="33" t="n">
        <f aca="false">(F17+F23)/(D17+D23)</f>
        <v>0.557687861271676</v>
      </c>
    </row>
    <row r="27" customFormat="false" ht="15" hidden="false" customHeight="true" outlineLevel="0" collapsed="false">
      <c r="B27" s="34" t="s">
        <v>67</v>
      </c>
      <c r="E27" s="33" t="n">
        <f aca="false">(F9+F17+F23)/D25</f>
        <v>0.671587982832618</v>
      </c>
    </row>
    <row r="29" customFormat="false" ht="15" hidden="false" customHeight="true" outlineLevel="0" collapsed="false">
      <c r="A29" s="35" t="s">
        <v>68</v>
      </c>
      <c r="B29" s="35"/>
      <c r="C29" s="35"/>
      <c r="D29" s="35"/>
      <c r="E29" s="35"/>
      <c r="F29" s="35"/>
      <c r="G29" s="35"/>
    </row>
    <row r="30" customFormat="false" ht="15" hidden="false" customHeight="true" outlineLevel="0" collapsed="false">
      <c r="A30" s="35"/>
      <c r="B30" s="35"/>
      <c r="C30" s="35"/>
      <c r="D30" s="35"/>
      <c r="E30" s="35"/>
      <c r="F30" s="35"/>
      <c r="G30" s="35"/>
    </row>
    <row r="31" customFormat="false" ht="15" hidden="false" customHeight="true" outlineLevel="0" collapsed="false">
      <c r="A31" s="35"/>
      <c r="B31" s="35"/>
      <c r="C31" s="35"/>
      <c r="D31" s="35"/>
      <c r="E31" s="35"/>
      <c r="F31" s="35"/>
      <c r="G31" s="35"/>
    </row>
  </sheetData>
  <mergeCells count="5">
    <mergeCell ref="A1:G1"/>
    <mergeCell ref="A4:G4"/>
    <mergeCell ref="A10:G10"/>
    <mergeCell ref="A18:G18"/>
    <mergeCell ref="A29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2"/>
    <col collapsed="false" customWidth="true" hidden="false" outlineLevel="0" max="4" min="3" style="1" width="12"/>
    <col collapsed="false" customWidth="true" hidden="false" outlineLevel="0" max="5" min="5" style="1" width="16"/>
  </cols>
  <sheetData>
    <row r="1" customFormat="false" ht="24" hidden="false" customHeight="true" outlineLevel="0" collapsed="false">
      <c r="A1" s="36" t="s">
        <v>69</v>
      </c>
      <c r="B1" s="36"/>
      <c r="C1" s="36"/>
      <c r="D1" s="36"/>
      <c r="E1" s="36"/>
    </row>
    <row r="3" customFormat="false" ht="15" hidden="false" customHeight="true" outlineLevel="0" collapsed="false">
      <c r="A3" s="4" t="s">
        <v>70</v>
      </c>
      <c r="B3" s="4" t="s">
        <v>71</v>
      </c>
      <c r="C3" s="4" t="s">
        <v>72</v>
      </c>
      <c r="D3" s="4" t="s">
        <v>19</v>
      </c>
      <c r="E3" s="4" t="s">
        <v>73</v>
      </c>
    </row>
    <row r="4" customFormat="false" ht="15" hidden="false" customHeight="true" outlineLevel="0" collapsed="false">
      <c r="A4" s="23" t="s">
        <v>74</v>
      </c>
      <c r="B4" s="22" t="s">
        <v>75</v>
      </c>
      <c r="C4" s="21" t="s">
        <v>76</v>
      </c>
      <c r="D4" s="6" t="n">
        <v>15</v>
      </c>
      <c r="E4" s="17" t="s">
        <v>77</v>
      </c>
    </row>
    <row r="5" customFormat="false" ht="21.75" hidden="false" customHeight="true" outlineLevel="0" collapsed="false">
      <c r="A5" s="18" t="s">
        <v>78</v>
      </c>
      <c r="B5" s="22" t="s">
        <v>79</v>
      </c>
      <c r="C5" s="21" t="s">
        <v>80</v>
      </c>
      <c r="D5" s="6" t="n">
        <v>90</v>
      </c>
      <c r="E5" s="17" t="s">
        <v>81</v>
      </c>
    </row>
    <row r="6" customFormat="false" ht="15" hidden="false" customHeight="true" outlineLevel="0" collapsed="false">
      <c r="A6" s="18" t="s">
        <v>82</v>
      </c>
      <c r="B6" s="22" t="s">
        <v>83</v>
      </c>
      <c r="C6" s="21" t="s">
        <v>84</v>
      </c>
      <c r="D6" s="6" t="n">
        <v>40</v>
      </c>
      <c r="E6" s="17" t="s">
        <v>85</v>
      </c>
    </row>
    <row r="7" customFormat="false" ht="15" hidden="false" customHeight="true" outlineLevel="0" collapsed="false">
      <c r="A7" s="18" t="s">
        <v>86</v>
      </c>
      <c r="B7" s="22" t="s">
        <v>87</v>
      </c>
      <c r="C7" s="21" t="s">
        <v>88</v>
      </c>
      <c r="D7" s="6" t="n">
        <v>25</v>
      </c>
      <c r="E7" s="17" t="s">
        <v>89</v>
      </c>
    </row>
    <row r="8" customFormat="false" ht="15" hidden="false" customHeight="true" outlineLevel="0" collapsed="false">
      <c r="A8" s="23" t="s">
        <v>90</v>
      </c>
      <c r="B8" s="22" t="s">
        <v>91</v>
      </c>
      <c r="C8" s="21" t="s">
        <v>92</v>
      </c>
      <c r="D8" s="6" t="n">
        <v>32</v>
      </c>
      <c r="E8" s="17" t="s">
        <v>93</v>
      </c>
    </row>
    <row r="9" customFormat="false" ht="15" hidden="false" customHeight="true" outlineLevel="0" collapsed="false">
      <c r="A9" s="37" t="s">
        <v>94</v>
      </c>
      <c r="B9" s="24"/>
      <c r="C9" s="24"/>
      <c r="D9" s="26" t="n">
        <f aca="false">SUM(D4:D8)</f>
        <v>202</v>
      </c>
      <c r="E9" s="24"/>
    </row>
    <row r="11" customFormat="false" ht="15" hidden="false" customHeight="true" outlineLevel="0" collapsed="false">
      <c r="A11" s="38" t="s">
        <v>95</v>
      </c>
      <c r="B11" s="38"/>
      <c r="C11" s="38"/>
      <c r="D11" s="38"/>
      <c r="E11" s="38"/>
    </row>
    <row r="12" customFormat="false" ht="15" hidden="false" customHeight="true" outlineLevel="0" collapsed="false">
      <c r="A12" s="38"/>
      <c r="B12" s="38"/>
      <c r="C12" s="38"/>
      <c r="D12" s="38"/>
      <c r="E12" s="38"/>
    </row>
  </sheetData>
  <mergeCells count="2">
    <mergeCell ref="A1:E1"/>
    <mergeCell ref="A11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14"/>
  </cols>
  <sheetData>
    <row r="1" customFormat="false" ht="24" hidden="false" customHeight="true" outlineLevel="0" collapsed="false">
      <c r="A1" s="36" t="s">
        <v>96</v>
      </c>
      <c r="B1" s="36"/>
      <c r="C1" s="36"/>
      <c r="D1" s="36"/>
    </row>
    <row r="3" customFormat="false" ht="27" hidden="false" customHeight="true" outlineLevel="0" collapsed="false">
      <c r="A3" s="4" t="s">
        <v>97</v>
      </c>
      <c r="B3" s="4" t="s">
        <v>98</v>
      </c>
      <c r="C3" s="4" t="s">
        <v>99</v>
      </c>
      <c r="D3" s="4" t="s">
        <v>100</v>
      </c>
    </row>
    <row r="4" customFormat="false" ht="21.75" hidden="false" customHeight="true" outlineLevel="0" collapsed="false">
      <c r="A4" s="39" t="s">
        <v>101</v>
      </c>
      <c r="B4" s="17" t="s">
        <v>102</v>
      </c>
      <c r="C4" s="19" t="s">
        <v>103</v>
      </c>
      <c r="D4" s="6" t="n">
        <v>320</v>
      </c>
    </row>
    <row r="5" customFormat="false" ht="21.75" hidden="false" customHeight="true" outlineLevel="0" collapsed="false">
      <c r="A5" s="39" t="s">
        <v>104</v>
      </c>
      <c r="B5" s="17" t="s">
        <v>105</v>
      </c>
      <c r="C5" s="19" t="s">
        <v>106</v>
      </c>
      <c r="D5" s="6" t="n">
        <v>750</v>
      </c>
    </row>
    <row r="6" customFormat="false" ht="21.75" hidden="false" customHeight="true" outlineLevel="0" collapsed="false">
      <c r="A6" s="39" t="s">
        <v>107</v>
      </c>
      <c r="B6" s="17" t="s">
        <v>108</v>
      </c>
      <c r="C6" s="19" t="s">
        <v>109</v>
      </c>
      <c r="D6" s="6" t="n">
        <v>95</v>
      </c>
    </row>
    <row r="7" customFormat="false" ht="15" hidden="false" customHeight="true" outlineLevel="0" collapsed="false">
      <c r="A7" s="40" t="s">
        <v>110</v>
      </c>
      <c r="B7" s="29"/>
      <c r="C7" s="29"/>
      <c r="D7" s="30" t="n">
        <f aca="false">SUM(D4:D6)</f>
        <v>1165</v>
      </c>
    </row>
    <row r="8" customFormat="false" ht="15" hidden="false" customHeight="true" outlineLevel="0" collapsed="false">
      <c r="A8" s="35" t="s">
        <v>111</v>
      </c>
      <c r="B8" s="35"/>
      <c r="C8" s="35"/>
      <c r="D8" s="35"/>
    </row>
    <row r="9" customFormat="false" ht="15" hidden="false" customHeight="true" outlineLevel="0" collapsed="false">
      <c r="A9" s="35"/>
      <c r="B9" s="35"/>
      <c r="C9" s="35"/>
      <c r="D9" s="35"/>
    </row>
  </sheetData>
  <mergeCells count="2">
    <mergeCell ref="A1:D1"/>
    <mergeCell ref="A8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9"/>
    <col collapsed="false" customWidth="true" hidden="false" outlineLevel="0" max="5" min="5" style="1" width="11"/>
    <col collapsed="false" customWidth="true" hidden="false" outlineLevel="0" max="6" min="6" style="1" width="44"/>
  </cols>
  <sheetData>
    <row r="1" customFormat="false" ht="24" hidden="false" customHeight="true" outlineLevel="0" collapsed="false">
      <c r="A1" s="41" t="s">
        <v>112</v>
      </c>
      <c r="B1" s="41"/>
      <c r="C1" s="41"/>
      <c r="D1" s="41"/>
      <c r="E1" s="41"/>
      <c r="F1" s="41"/>
    </row>
    <row r="3" customFormat="false" ht="15" hidden="false" customHeight="true" outlineLevel="0" collapsed="false">
      <c r="A3" s="4" t="s">
        <v>113</v>
      </c>
      <c r="B3" s="4" t="s">
        <v>114</v>
      </c>
      <c r="C3" s="4" t="s">
        <v>20</v>
      </c>
      <c r="D3" s="4" t="s">
        <v>115</v>
      </c>
      <c r="E3" s="4" t="s">
        <v>22</v>
      </c>
      <c r="F3" s="4" t="s">
        <v>116</v>
      </c>
    </row>
    <row r="4" customFormat="false" ht="15" hidden="false" customHeight="true" outlineLevel="0" collapsed="false">
      <c r="A4" s="39" t="s">
        <v>117</v>
      </c>
      <c r="B4" s="21" t="s">
        <v>118</v>
      </c>
      <c r="C4" s="21" t="s">
        <v>119</v>
      </c>
      <c r="D4" s="21" t="s">
        <v>120</v>
      </c>
      <c r="E4" s="17" t="s">
        <v>121</v>
      </c>
      <c r="F4" s="42" t="s">
        <v>122</v>
      </c>
    </row>
    <row r="5" customFormat="false" ht="15" hidden="false" customHeight="true" outlineLevel="0" collapsed="false">
      <c r="A5" s="43" t="s">
        <v>123</v>
      </c>
      <c r="B5" s="21" t="s">
        <v>124</v>
      </c>
      <c r="C5" s="21" t="s">
        <v>125</v>
      </c>
      <c r="D5" s="21" t="s">
        <v>126</v>
      </c>
      <c r="E5" s="17" t="s">
        <v>127</v>
      </c>
      <c r="F5" s="44" t="s">
        <v>128</v>
      </c>
    </row>
    <row r="6" customFormat="false" ht="15" hidden="false" customHeight="true" outlineLevel="0" collapsed="false">
      <c r="A6" s="45" t="s">
        <v>129</v>
      </c>
      <c r="B6" s="29" t="s">
        <v>130</v>
      </c>
      <c r="C6" s="29" t="s">
        <v>131</v>
      </c>
      <c r="D6" s="29" t="s">
        <v>132</v>
      </c>
      <c r="E6" s="46" t="s">
        <v>133</v>
      </c>
      <c r="F6" s="47" t="s">
        <v>134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2026-05-30T06:35:40Z</dcterms:created>
  <dc:creator>openpyxl</dc:creator>
  <dc:description/>
  <dc:language>en-US</dc:language>
  <cp:lastModifiedBy/>
  <dcterms:modified xsi:type="dcterms:W3CDTF">2026-05-30T07:43:18Z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